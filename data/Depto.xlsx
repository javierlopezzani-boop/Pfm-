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JOSE" sheetId="2" r:id="rId5"/>
    <sheet state="visible" name="Analisis" sheetId="3" r:id="rId6"/>
    <sheet state="visible" name="Transacciones" sheetId="4" r:id="rId7"/>
    <sheet state="visible" name="Copia de Transacciones" sheetId="5" r:id="rId8"/>
    <sheet state="visible" name="Mayo 26" sheetId="6" r:id="rId9"/>
    <sheet state="visible" name="Abril 26" sheetId="7" r:id="rId10"/>
    <sheet state="visible" name="Mar 26" sheetId="8" r:id="rId11"/>
    <sheet state="visible" name="Feb 26" sheetId="9" r:id="rId12"/>
    <sheet state="visible" name="Ene 26" sheetId="10" r:id="rId13"/>
    <sheet state="visible" name="Dic 26" sheetId="11" r:id="rId14"/>
    <sheet state="visible" name="noviembre 25" sheetId="12" r:id="rId15"/>
    <sheet state="visible" name="Octubre 25" sheetId="13" r:id="rId16"/>
    <sheet state="visible" name="Septiembre 25" sheetId="14" r:id="rId17"/>
    <sheet state="visible" name="Agosto 25" sheetId="15" r:id="rId18"/>
    <sheet state="visible" name="Julio 25" sheetId="16" r:id="rId19"/>
    <sheet state="visible" name="Junio 25" sheetId="17" r:id="rId20"/>
    <sheet state="visible" name="Mayo 25" sheetId="18" r:id="rId21"/>
    <sheet state="visible" name="abril 25" sheetId="19" r:id="rId22"/>
    <sheet state="visible" name="marzo 25" sheetId="20" r:id="rId23"/>
    <sheet state="visible" name="febrero 25" sheetId="21" r:id="rId24"/>
    <sheet state="visible" name="Enero 25" sheetId="22" r:id="rId25"/>
    <sheet state="visible" name="Diciembre 24" sheetId="23" r:id="rId26"/>
    <sheet state="visible" name="Noviembre 24" sheetId="24" r:id="rId27"/>
    <sheet state="visible" name="Octubre 24" sheetId="25" r:id="rId28"/>
    <sheet state="visible" name="Septiembre 24" sheetId="26" r:id="rId29"/>
    <sheet state="visible" name="Agosto 24" sheetId="27" r:id="rId30"/>
    <sheet state="visible" name="Julio 24" sheetId="28" r:id="rId31"/>
    <sheet state="visible" name="Junio 24" sheetId="29" r:id="rId32"/>
    <sheet state="visible" name="Mayo 24" sheetId="30" r:id="rId33"/>
    <sheet state="visible" name="abril 24" sheetId="31" r:id="rId34"/>
    <sheet state="visible" name="Marzo 24" sheetId="32" r:id="rId35"/>
    <sheet state="visible" name="Febrero 24" sheetId="33" r:id="rId36"/>
    <sheet state="visible" name="Enero 24" sheetId="34" r:id="rId37"/>
    <sheet state="visible" name="Diciembre 23" sheetId="35" r:id="rId38"/>
    <sheet state="visible" name="Noviembre 23" sheetId="36" r:id="rId39"/>
    <sheet state="visible" name="Octubre 23" sheetId="37" r:id="rId40"/>
    <sheet state="visible" name="Septiembre 23" sheetId="38" r:id="rId41"/>
    <sheet state="visible" name="Agosto 23" sheetId="39" r:id="rId42"/>
    <sheet state="visible" name="Julio 23" sheetId="40" r:id="rId43"/>
    <sheet state="visible" name="Junio 23" sheetId="41" r:id="rId44"/>
    <sheet state="visible" name="Mayo 23" sheetId="42" r:id="rId45"/>
    <sheet state="visible" name="Abril 23" sheetId="43" r:id="rId46"/>
    <sheet state="visible" name="Marzo 23" sheetId="44" r:id="rId47"/>
    <sheet state="visible" name="Febrero 23" sheetId="45" r:id="rId48"/>
    <sheet state="visible" name="Enero 23" sheetId="46" r:id="rId49"/>
    <sheet state="visible" name="diciembre 22" sheetId="47" r:id="rId50"/>
    <sheet state="visible" name="noviembre 22" sheetId="48" r:id="rId51"/>
    <sheet state="visible" name="octubre 22" sheetId="49" r:id="rId52"/>
    <sheet state="visible" name="septiembre 22" sheetId="50" r:id="rId53"/>
    <sheet state="visible" name="Agosto 22" sheetId="51" r:id="rId54"/>
    <sheet state="visible" name="Julio 22" sheetId="52" r:id="rId55"/>
    <sheet state="visible" name="Junio 22" sheetId="53" r:id="rId56"/>
    <sheet state="visible" name="Mayo 22" sheetId="54" r:id="rId57"/>
    <sheet state="visible" name="Abril 22" sheetId="55" r:id="rId58"/>
    <sheet state="visible" name="Marzo 22" sheetId="56" r:id="rId59"/>
    <sheet state="visible" name="Febrero 22" sheetId="57" r:id="rId60"/>
    <sheet state="visible" name="Enero 22" sheetId="58" r:id="rId61"/>
    <sheet state="visible" name="Diciembre 21" sheetId="59" r:id="rId62"/>
    <sheet state="visible" name="Noviembre 21" sheetId="60" r:id="rId63"/>
    <sheet state="visible" name="Octubre 21" sheetId="61" r:id="rId64"/>
    <sheet state="visible" name="Septiembre 21" sheetId="62" r:id="rId65"/>
    <sheet state="visible" name="Agosto 21" sheetId="63" r:id="rId66"/>
    <sheet state="visible" name="Julio 21" sheetId="64" r:id="rId67"/>
    <sheet state="visible" name="Junio 21" sheetId="65" r:id="rId68"/>
    <sheet state="visible" name="mayo 21" sheetId="66" r:id="rId69"/>
    <sheet state="visible" name="abril 21" sheetId="67" r:id="rId70"/>
    <sheet state="visible" name="marzo 21" sheetId="68" r:id="rId71"/>
    <sheet state="visible" name="febrero 21" sheetId="69" r:id="rId72"/>
    <sheet state="visible" name="enero 21" sheetId="70" r:id="rId73"/>
    <sheet state="visible" name="diciembre 20" sheetId="71" r:id="rId74"/>
    <sheet state="visible" name="noviembre 20" sheetId="72" r:id="rId75"/>
    <sheet state="visible" name="octubre 20" sheetId="73" r:id="rId76"/>
    <sheet state="visible" name="Septiembre 20" sheetId="74" r:id="rId77"/>
    <sheet state="visible" name="Agosto 20" sheetId="75" r:id="rId78"/>
    <sheet state="visible" name="Julio 20" sheetId="76" r:id="rId79"/>
    <sheet state="visible" name="Junio 20" sheetId="77" r:id="rId80"/>
    <sheet state="visible" name="Mayo 20" sheetId="78" r:id="rId81"/>
    <sheet state="visible" name="Abril 20" sheetId="79" r:id="rId82"/>
    <sheet state="visible" name="Marzo 20" sheetId="80" r:id="rId83"/>
    <sheet state="visible" name="Febrero 20" sheetId="81" r:id="rId84"/>
    <sheet state="visible" name="Enero 20" sheetId="82" r:id="rId85"/>
    <sheet state="visible" name="Diciembre 19" sheetId="83" r:id="rId86"/>
    <sheet state="visible" name="Noviembre 19" sheetId="84" r:id="rId87"/>
    <sheet state="visible" name="Octubre 19" sheetId="85" r:id="rId88"/>
    <sheet state="visible" name="Septiembre 19" sheetId="86" r:id="rId89"/>
    <sheet state="visible" name="Agosto 19" sheetId="87" r:id="rId90"/>
    <sheet state="visible" name="Julio" sheetId="88" r:id="rId91"/>
    <sheet state="visible" name="Junio" sheetId="89" r:id="rId92"/>
    <sheet state="visible" name="Mayo" sheetId="90" r:id="rId93"/>
    <sheet state="visible" name="Abril" sheetId="91" r:id="rId94"/>
    <sheet state="visible" name="Marzo" sheetId="92" r:id="rId95"/>
    <sheet state="visible" name="febrero" sheetId="93" r:id="rId96"/>
    <sheet state="visible" name="Enero" sheetId="94" r:id="rId97"/>
    <sheet state="visible" name="Diciembre" sheetId="95" r:id="rId98"/>
    <sheet state="visible" name="noviembre" sheetId="96" r:id="rId99"/>
    <sheet state="visible" name="octubre" sheetId="97" r:id="rId100"/>
    <sheet state="visible" name="Septiembre" sheetId="98" r:id="rId101"/>
    <sheet state="visible" name="Agosto" sheetId="99" r:id="rId102"/>
    <sheet state="visible" name="Hoja 7" sheetId="100" r:id="rId103"/>
  </sheets>
  <definedNames>
    <definedName name="StartingBalance">#REF!</definedName>
    <definedName hidden="1" localSheetId="3" name="_xlnm._FilterDatabase">Transacciones!$B$4:$F$34</definedName>
    <definedName hidden="1" localSheetId="4" name="_xlnm._FilterDatabase">'Copia de Transacciones'!$B$4:$F$34</definedName>
    <definedName hidden="1" localSheetId="5" name="_xlnm._FilterDatabase">'Mayo 26'!$B$4:$F$34</definedName>
    <definedName hidden="1" localSheetId="6" name="_xlnm._FilterDatabase">'Abril 26'!$B$4:$F$34</definedName>
    <definedName hidden="1" localSheetId="7" name="_xlnm._FilterDatabase">'Mar 26'!$B$4:$F$34</definedName>
    <definedName hidden="1" localSheetId="8" name="_xlnm._FilterDatabase">'Feb 26'!$B$4:$F$34</definedName>
    <definedName hidden="1" localSheetId="9" name="_xlnm._FilterDatabase">'Ene 26'!$B$4:$F$34</definedName>
    <definedName hidden="1" localSheetId="10" name="_xlnm._FilterDatabase">'Dic 26'!$B$4:$F$34</definedName>
    <definedName hidden="1" localSheetId="11" name="_xlnm._FilterDatabase">'noviembre 25'!$B$4:$F$34</definedName>
    <definedName hidden="1" localSheetId="12" name="_xlnm._FilterDatabase">'Octubre 25'!$B$4:$F$34</definedName>
    <definedName hidden="1" localSheetId="13" name="_xlnm._FilterDatabase">'Septiembre 25'!$B$4:$F$34</definedName>
    <definedName hidden="1" localSheetId="14" name="_xlnm._FilterDatabase">'Agosto 25'!$B$4:$F$34</definedName>
    <definedName hidden="1" localSheetId="15" name="_xlnm._FilterDatabase">'Julio 25'!$B$4:$F$34</definedName>
    <definedName hidden="1" localSheetId="16" name="_xlnm._FilterDatabase">'Junio 25'!$B$4:$F$34</definedName>
    <definedName hidden="1" localSheetId="17" name="_xlnm._FilterDatabase">'Mayo 25'!$B$4:$F$34</definedName>
    <definedName hidden="1" localSheetId="18" name="_xlnm._FilterDatabase">'abril 25'!$B$4:$F$34</definedName>
    <definedName hidden="1" localSheetId="19" name="_xlnm._FilterDatabase">'marzo 25'!$B$4:$F$34</definedName>
    <definedName hidden="1" localSheetId="20" name="_xlnm._FilterDatabase">'febrero 25'!$B$4:$F$34</definedName>
    <definedName hidden="1" localSheetId="21" name="_xlnm._FilterDatabase">'Enero 25'!$B$4:$F$34</definedName>
    <definedName hidden="1" localSheetId="22" name="_xlnm._FilterDatabase">'Diciembre 24'!$B$4:$F$34</definedName>
    <definedName hidden="1" localSheetId="23" name="_xlnm._FilterDatabase">'Noviembre 24'!$B$4:$F$34</definedName>
    <definedName hidden="1" localSheetId="24" name="_xlnm._FilterDatabase">'Octubre 24'!$B$4:$F$34</definedName>
    <definedName hidden="1" localSheetId="25" name="_xlnm._FilterDatabase">'Septiembre 24'!$B$4:$F$34</definedName>
    <definedName hidden="1" localSheetId="26" name="_xlnm._FilterDatabase">'Agosto 24'!$B$4:$F$34</definedName>
    <definedName hidden="1" localSheetId="27" name="_xlnm._FilterDatabase">'Julio 24'!$B$4:$F$34</definedName>
    <definedName hidden="1" localSheetId="28" name="_xlnm._FilterDatabase">'Junio 24'!$B$4:$F$34</definedName>
    <definedName hidden="1" localSheetId="29" name="_xlnm._FilterDatabase">'Mayo 24'!$B$4:$F$34</definedName>
    <definedName hidden="1" localSheetId="30" name="_xlnm._FilterDatabase">'abril 24'!$B$4:$F$34</definedName>
    <definedName hidden="1" localSheetId="31" name="_xlnm._FilterDatabase">'Marzo 24'!$B$4:$F$34</definedName>
    <definedName hidden="1" localSheetId="32" name="_xlnm._FilterDatabase">'Febrero 24'!$B$4:$F$34</definedName>
    <definedName hidden="1" localSheetId="33" name="_xlnm._FilterDatabase">'Enero 24'!$B$4:$F$34</definedName>
    <definedName hidden="1" localSheetId="34" name="_xlnm._FilterDatabase">'Diciembre 23'!$B$4:$F$34</definedName>
    <definedName hidden="1" localSheetId="35" name="_xlnm._FilterDatabase">'Noviembre 23'!$B$4:$F$34</definedName>
    <definedName hidden="1" localSheetId="36" name="_xlnm._FilterDatabase">'Octubre 23'!$B$4:$F$34</definedName>
    <definedName hidden="1" localSheetId="37" name="_xlnm._FilterDatabase">'Septiembre 23'!$B$4:$F$34</definedName>
    <definedName hidden="1" localSheetId="38" name="_xlnm._FilterDatabase">'Agosto 23'!$B$4:$F$34</definedName>
    <definedName hidden="1" localSheetId="39" name="_xlnm._FilterDatabase">'Julio 23'!$B$4:$F$34</definedName>
    <definedName hidden="1" localSheetId="40" name="_xlnm._FilterDatabase">'Junio 23'!$B$4:$F$34</definedName>
    <definedName hidden="1" localSheetId="41" name="_xlnm._FilterDatabase">'Mayo 23'!$B$4:$F$34</definedName>
    <definedName hidden="1" localSheetId="42" name="_xlnm._FilterDatabase">'Abril 23'!$B$4:$F$34</definedName>
    <definedName hidden="1" localSheetId="43" name="_xlnm._FilterDatabase">'Marzo 23'!$B$4:$F$34</definedName>
    <definedName hidden="1" localSheetId="44" name="_xlnm._FilterDatabase">'Febrero 23'!$B$4:$F$34</definedName>
    <definedName hidden="1" localSheetId="45" name="_xlnm._FilterDatabase">'Enero 23'!$B$4:$F$34</definedName>
    <definedName hidden="1" localSheetId="46" name="_xlnm._FilterDatabase">'diciembre 22'!$B$4:$F$34</definedName>
    <definedName hidden="1" localSheetId="47" name="_xlnm._FilterDatabase">'noviembre 22'!$B$4:$F$34</definedName>
    <definedName hidden="1" localSheetId="48" name="_xlnm._FilterDatabase">'octubre 22'!$B$4:$F$34</definedName>
    <definedName hidden="1" localSheetId="49" name="_xlnm._FilterDatabase">'septiembre 22'!$B$4:$F$34</definedName>
    <definedName hidden="1" localSheetId="50" name="_xlnm._FilterDatabase">'Agosto 22'!$B$4:$F$34</definedName>
    <definedName hidden="1" localSheetId="51" name="_xlnm._FilterDatabase">'Julio 22'!$B$4:$F$34</definedName>
    <definedName hidden="1" localSheetId="52" name="_xlnm._FilterDatabase">'Junio 22'!$B$4:$F$34</definedName>
    <definedName hidden="1" localSheetId="53" name="_xlnm._FilterDatabase">'Mayo 22'!$B$4:$F$34</definedName>
    <definedName hidden="1" localSheetId="54" name="_xlnm._FilterDatabase">'Abril 22'!$B$4:$F$34</definedName>
    <definedName hidden="1" localSheetId="55" name="_xlnm._FilterDatabase">'Marzo 22'!$B$4:$F$34</definedName>
    <definedName hidden="1" localSheetId="56" name="_xlnm._FilterDatabase">'Febrero 22'!$B$4:$F$34</definedName>
    <definedName hidden="1" localSheetId="57" name="_xlnm._FilterDatabase">'Enero 22'!$B$4:$F$34</definedName>
    <definedName hidden="1" localSheetId="58" name="_xlnm._FilterDatabase">'Diciembre 21'!$B$4:$F$34</definedName>
    <definedName hidden="1" localSheetId="59" name="_xlnm._FilterDatabase">'Noviembre 21'!$B$4:$F$34</definedName>
    <definedName hidden="1" localSheetId="60" name="_xlnm._FilterDatabase">'Octubre 21'!$B$4:$F$34</definedName>
    <definedName hidden="1" localSheetId="61" name="_xlnm._FilterDatabase">'Septiembre 21'!$B$4:$F$34</definedName>
    <definedName hidden="1" localSheetId="62" name="_xlnm._FilterDatabase">'Agosto 21'!$B$4:$F$34</definedName>
    <definedName hidden="1" localSheetId="63" name="_xlnm._FilterDatabase">'Julio 21'!$B$4:$F$34</definedName>
    <definedName hidden="1" localSheetId="64" name="_xlnm._FilterDatabase">'Junio 21'!$B$4:$F$34</definedName>
    <definedName hidden="1" localSheetId="65" name="_xlnm._FilterDatabase">'mayo 21'!$B$4:$F$34</definedName>
    <definedName hidden="1" localSheetId="66" name="_xlnm._FilterDatabase">'abril 21'!$B$4:$F$34</definedName>
    <definedName hidden="1" localSheetId="67" name="_xlnm._FilterDatabase">'marzo 21'!$B$4:$F$34</definedName>
    <definedName hidden="1" localSheetId="68" name="_xlnm._FilterDatabase">'febrero 21'!$B$4:$F$33</definedName>
    <definedName hidden="1" localSheetId="69" name="_xlnm._FilterDatabase">'enero 21'!$B$4:$F$33</definedName>
    <definedName hidden="1" localSheetId="70" name="_xlnm._FilterDatabase">'diciembre 20'!$B$4:$F$33</definedName>
    <definedName hidden="1" localSheetId="71" name="_xlnm._FilterDatabase">'noviembre 20'!$B$4:$F$33</definedName>
    <definedName hidden="1" localSheetId="72" name="_xlnm._FilterDatabase">'octubre 20'!$B$4:$F$33</definedName>
    <definedName hidden="1" localSheetId="73" name="_xlnm._FilterDatabase">'Septiembre 20'!$B$4:$F$33</definedName>
    <definedName hidden="1" localSheetId="74" name="_xlnm._FilterDatabase">'Agosto 20'!$B$4:$F$33</definedName>
    <definedName hidden="1" localSheetId="75" name="_xlnm._FilterDatabase">'Julio 20'!$B$4:$F$33</definedName>
    <definedName hidden="1" localSheetId="76" name="_xlnm._FilterDatabase">'Junio 20'!$B$4:$F$33</definedName>
    <definedName hidden="1" localSheetId="77" name="_xlnm._FilterDatabase">'Mayo 20'!$B$4:$F$33</definedName>
    <definedName hidden="1" localSheetId="78" name="_xlnm._FilterDatabase">'Abril 20'!$B$4:$F$33</definedName>
    <definedName hidden="1" localSheetId="79" name="_xlnm._FilterDatabase">'Marzo 20'!$B$4:$F$33</definedName>
    <definedName hidden="1" localSheetId="80" name="_xlnm._FilterDatabase">'Febrero 20'!$B$4:$F$33</definedName>
    <definedName hidden="1" localSheetId="81" name="_xlnm._FilterDatabase">'Enero 20'!$B$4:$F$33</definedName>
    <definedName hidden="1" localSheetId="82" name="_xlnm._FilterDatabase">'Diciembre 19'!$B$4:$F$33</definedName>
    <definedName hidden="1" localSheetId="83" name="_xlnm._FilterDatabase">'Noviembre 19'!$B$4:$F$33</definedName>
    <definedName hidden="1" localSheetId="84" name="_xlnm._FilterDatabase">'Octubre 19'!$B$4:$F$33</definedName>
    <definedName hidden="1" localSheetId="85" name="_xlnm._FilterDatabase">'Septiembre 19'!$B$4:$F$33</definedName>
    <definedName hidden="1" localSheetId="86" name="_xlnm._FilterDatabase">'Agosto 19'!$B$4:$F$33</definedName>
    <definedName hidden="1" localSheetId="87" name="_xlnm._FilterDatabase">Julio!$B$4:$F$33</definedName>
    <definedName hidden="1" localSheetId="88" name="_xlnm._FilterDatabase">Junio!$B$4:$F$33</definedName>
    <definedName hidden="1" localSheetId="89" name="_xlnm._FilterDatabase">Mayo!$B$4:$F$33</definedName>
    <definedName hidden="1" localSheetId="90" name="_xlnm._FilterDatabase">Abril!$B$4:$F$33</definedName>
    <definedName hidden="1" localSheetId="91" name="_xlnm._FilterDatabase">Marzo!$B$4:$F$33</definedName>
    <definedName hidden="1" localSheetId="92" name="_xlnm._FilterDatabase">febrero!$B$4:$F$33</definedName>
    <definedName hidden="1" localSheetId="93" name="_xlnm._FilterDatabase">Enero!$B$4:$F$33</definedName>
    <definedName hidden="1" localSheetId="94" name="_xlnm._FilterDatabase">Diciembre!$B$4:$F$26</definedName>
    <definedName hidden="1" localSheetId="95" name="_xlnm._FilterDatabase">noviembre!$B$4:$F$26</definedName>
    <definedName hidden="1" localSheetId="96" name="_xlnm._FilterDatabase">octubre!$B$4:$F$24</definedName>
  </definedNames>
  <calcPr/>
</workbook>
</file>

<file path=xl/sharedStrings.xml><?xml version="1.0" encoding="utf-8"?>
<sst xmlns="http://schemas.openxmlformats.org/spreadsheetml/2006/main" count="6393" uniqueCount="505">
  <si>
    <t>Dolar</t>
  </si>
  <si>
    <t>Gastos</t>
  </si>
  <si>
    <t>Pagos</t>
  </si>
  <si>
    <t>PPTO</t>
  </si>
  <si>
    <t>Previsto</t>
  </si>
  <si>
    <t>Gastado</t>
  </si>
  <si>
    <t xml:space="preserve">Amex </t>
  </si>
  <si>
    <t>Pagado</t>
  </si>
  <si>
    <t>Paga Jose</t>
  </si>
  <si>
    <t>Ingresos</t>
  </si>
  <si>
    <t>Difer.</t>
  </si>
  <si>
    <t>Real</t>
  </si>
  <si>
    <t>Por pagar pp</t>
  </si>
  <si>
    <t>Totales</t>
  </si>
  <si>
    <t>Jav</t>
  </si>
  <si>
    <t>Spotify</t>
  </si>
  <si>
    <t>Javier</t>
  </si>
  <si>
    <t>Por pagar</t>
  </si>
  <si>
    <t>Netflix</t>
  </si>
  <si>
    <t>Supermercado</t>
  </si>
  <si>
    <t>Arriendo</t>
  </si>
  <si>
    <t>Gastos comunes</t>
  </si>
  <si>
    <t>Nana</t>
  </si>
  <si>
    <t>Entel</t>
  </si>
  <si>
    <t>Luz</t>
  </si>
  <si>
    <t>Agua</t>
  </si>
  <si>
    <t xml:space="preserve">Gas </t>
  </si>
  <si>
    <t>Reparaciones y hogar</t>
  </si>
  <si>
    <t>Seguro depto</t>
  </si>
  <si>
    <t>tag</t>
  </si>
  <si>
    <t>bencina/luz</t>
  </si>
  <si>
    <t>ITEM</t>
  </si>
  <si>
    <t>Jose</t>
  </si>
  <si>
    <t xml:space="preserve">café </t>
  </si>
  <si>
    <t>Tag vuelta</t>
  </si>
  <si>
    <t xml:space="preserve">cafetería </t>
  </si>
  <si>
    <t>Tag ida</t>
  </si>
  <si>
    <t>pia</t>
  </si>
  <si>
    <t>Bencina</t>
  </si>
  <si>
    <t>entradas</t>
  </si>
  <si>
    <t>johny rockets</t>
  </si>
  <si>
    <t>lavado</t>
  </si>
  <si>
    <t>Tag</t>
  </si>
  <si>
    <t>Seguro</t>
  </si>
  <si>
    <t>Burger king</t>
  </si>
  <si>
    <t>Padel</t>
  </si>
  <si>
    <t>Awto</t>
  </si>
  <si>
    <t>Goodmeal</t>
  </si>
  <si>
    <t>Completos</t>
  </si>
  <si>
    <t>Cintas</t>
  </si>
  <si>
    <t>Almuerzo</t>
  </si>
  <si>
    <t>cabritas</t>
  </si>
  <si>
    <t>padel</t>
  </si>
  <si>
    <t>desayuno</t>
  </si>
  <si>
    <t>padel seba</t>
  </si>
  <si>
    <t xml:space="preserve">Seguro Argo </t>
  </si>
  <si>
    <t>padel 8</t>
  </si>
  <si>
    <t>seguro</t>
  </si>
  <si>
    <t>fork</t>
  </si>
  <si>
    <t>wallys</t>
  </si>
  <si>
    <t>padel 16</t>
  </si>
  <si>
    <t>andi</t>
  </si>
  <si>
    <t>veggies</t>
  </si>
  <si>
    <t xml:space="preserve">Juguetes Lola </t>
  </si>
  <si>
    <t xml:space="preserve">Almjerso llacolen </t>
  </si>
  <si>
    <t>peajes 9/8</t>
  </si>
  <si>
    <t>peajes 18/8</t>
  </si>
  <si>
    <t>asado panchi</t>
  </si>
  <si>
    <t>padel 21</t>
  </si>
  <si>
    <t>TAG</t>
  </si>
  <si>
    <t>padel 26</t>
  </si>
  <si>
    <t xml:space="preserve">Vacunas Lola 1 parte </t>
  </si>
  <si>
    <t xml:space="preserve"> puzzle pellet lola </t>
  </si>
  <si>
    <t xml:space="preserve">Comedero Lola </t>
  </si>
  <si>
    <t>Trazodona</t>
  </si>
  <si>
    <t xml:space="preserve">Juegues Lola </t>
  </si>
  <si>
    <t>peajes</t>
  </si>
  <si>
    <t xml:space="preserve">Bencina shell conce </t>
  </si>
  <si>
    <t>peajes 21 sept</t>
  </si>
  <si>
    <t xml:space="preserve">Transf Javi </t>
  </si>
  <si>
    <t>almuerzo nieve</t>
  </si>
  <si>
    <t>tarjetas</t>
  </si>
  <si>
    <t>Cosas pastelería</t>
  </si>
  <si>
    <t>bencina</t>
  </si>
  <si>
    <t>peajes 29 sept</t>
  </si>
  <si>
    <t>calzones lola</t>
  </si>
  <si>
    <t>burger</t>
  </si>
  <si>
    <t>arrayan</t>
  </si>
  <si>
    <t>Vacunas Lola</t>
  </si>
  <si>
    <t xml:space="preserve">Helados con mirza </t>
  </si>
  <si>
    <t>cafe</t>
  </si>
  <si>
    <t>bici</t>
  </si>
  <si>
    <t>nassau</t>
  </si>
  <si>
    <t>museo helado</t>
  </si>
  <si>
    <t>Baby yoda</t>
  </si>
  <si>
    <t>kayak</t>
  </si>
  <si>
    <t xml:space="preserve">Lighting lane </t>
  </si>
  <si>
    <t>parasol</t>
  </si>
  <si>
    <t>waterside.</t>
  </si>
  <si>
    <t>flmingo</t>
  </si>
  <si>
    <t>robbies marine</t>
  </si>
  <si>
    <t>parque 7 miles.</t>
  </si>
  <si>
    <t>dolares</t>
  </si>
  <si>
    <t>Dolares bahamas</t>
  </si>
  <si>
    <t>Walmart</t>
  </si>
  <si>
    <t>lavado alfombra</t>
  </si>
  <si>
    <t xml:space="preserve">Desayuno cassis </t>
  </si>
  <si>
    <t>mantención aire</t>
  </si>
  <si>
    <t xml:space="preserve">La maestranza  </t>
  </si>
  <si>
    <t>regalo Elma</t>
  </si>
  <si>
    <t>Airfrier</t>
  </si>
  <si>
    <t>tiradores</t>
  </si>
  <si>
    <t>super</t>
  </si>
  <si>
    <t>guantes</t>
  </si>
  <si>
    <t>kiosclub</t>
  </si>
  <si>
    <t>padel y ceviche</t>
  </si>
  <si>
    <t xml:space="preserve">Seguro auto </t>
  </si>
  <si>
    <t xml:space="preserve">lola consulta vet </t>
  </si>
  <si>
    <t>multicar</t>
  </si>
  <si>
    <t xml:space="preserve">Completos </t>
  </si>
  <si>
    <t>las trancas</t>
  </si>
  <si>
    <t xml:space="preserve">Super viaje chillan </t>
  </si>
  <si>
    <t>almuerzo Trancas</t>
  </si>
  <si>
    <t>Cosas vale</t>
  </si>
  <si>
    <t xml:space="preserve">Mini pimer </t>
  </si>
  <si>
    <t>pucon</t>
  </si>
  <si>
    <t>marzo</t>
  </si>
  <si>
    <t>soap mokka</t>
  </si>
  <si>
    <t>pucon chelo</t>
  </si>
  <si>
    <t>cuentas pucon</t>
  </si>
  <si>
    <t>uber vale</t>
  </si>
  <si>
    <t>pucon seba</t>
  </si>
  <si>
    <t>Seguro febrero</t>
  </si>
  <si>
    <t>comida rabbo</t>
  </si>
  <si>
    <t>rec</t>
  </si>
  <si>
    <t xml:space="preserve">Helados 17 marzo </t>
  </si>
  <si>
    <t>pastelitow</t>
  </si>
  <si>
    <t xml:space="preserve">Alfombra </t>
  </si>
  <si>
    <t>aleman</t>
  </si>
  <si>
    <t>abril</t>
  </si>
  <si>
    <t>comida lola.</t>
  </si>
  <si>
    <t>uber eats 4/8</t>
  </si>
  <si>
    <t>suscrip uber</t>
  </si>
  <si>
    <t xml:space="preserve">Ceiba </t>
  </si>
  <si>
    <t>pastillas</t>
  </si>
  <si>
    <t>starbucks</t>
  </si>
  <si>
    <t xml:space="preserve">Observatorio calan </t>
  </si>
  <si>
    <t>Central 55</t>
  </si>
  <si>
    <t>mayo</t>
  </si>
  <si>
    <t>pasajes</t>
  </si>
  <si>
    <t>nikei</t>
  </si>
  <si>
    <t xml:space="preserve">padel </t>
  </si>
  <si>
    <t xml:space="preserve">cargador y control </t>
  </si>
  <si>
    <t>Bencina 27-04</t>
  </si>
  <si>
    <t xml:space="preserve">estacionamiento </t>
  </si>
  <si>
    <t>cassis</t>
  </si>
  <si>
    <t>junio</t>
  </si>
  <si>
    <t>Peajes</t>
  </si>
  <si>
    <t>Krispy</t>
  </si>
  <si>
    <t>cancha padel</t>
  </si>
  <si>
    <t xml:space="preserve">Bencina auto copec pay </t>
  </si>
  <si>
    <t>comida nieve</t>
  </si>
  <si>
    <t xml:space="preserve">Estacionamiento aeropuerto </t>
  </si>
  <si>
    <t xml:space="preserve">Super líder </t>
  </si>
  <si>
    <t>play 5</t>
  </si>
  <si>
    <t>almuerzo</t>
  </si>
  <si>
    <t>regalo ferni</t>
  </si>
  <si>
    <t>juego temazos</t>
  </si>
  <si>
    <t>julio</t>
  </si>
  <si>
    <t xml:space="preserve">Papa John's Falabella </t>
  </si>
  <si>
    <t>Pastillas</t>
  </si>
  <si>
    <t>Dentista</t>
  </si>
  <si>
    <t xml:space="preserve">lavado </t>
  </si>
  <si>
    <t>karting</t>
  </si>
  <si>
    <t>nieve</t>
  </si>
  <si>
    <t>burguer</t>
  </si>
  <si>
    <t xml:space="preserve">Cancha pádel </t>
  </si>
  <si>
    <t>agosto</t>
  </si>
  <si>
    <t xml:space="preserve">Almuerzo fork </t>
  </si>
  <si>
    <t>Dulce xl fork</t>
  </si>
  <si>
    <t xml:space="preserve">Super </t>
  </si>
  <si>
    <t>gym</t>
  </si>
  <si>
    <t>japones</t>
  </si>
  <si>
    <t>Caminito</t>
  </si>
  <si>
    <t>Alhambra</t>
  </si>
  <si>
    <t>caballos</t>
  </si>
  <si>
    <t>plantas</t>
  </si>
  <si>
    <t>barrica</t>
  </si>
  <si>
    <t>shell</t>
  </si>
  <si>
    <t xml:space="preserve">Sushi conce </t>
  </si>
  <si>
    <t>tv</t>
  </si>
  <si>
    <t>salida chicos</t>
  </si>
  <si>
    <t>regalo rosi</t>
  </si>
  <si>
    <t>asado santuario</t>
  </si>
  <si>
    <t>gomitas</t>
  </si>
  <si>
    <t>super viaje</t>
  </si>
  <si>
    <t>mirador. cibeles</t>
  </si>
  <si>
    <t>auto</t>
  </si>
  <si>
    <t>taxi</t>
  </si>
  <si>
    <t>cuchara</t>
  </si>
  <si>
    <t>molino</t>
  </si>
  <si>
    <t>ferry</t>
  </si>
  <si>
    <t>mirador</t>
  </si>
  <si>
    <t>imanes</t>
  </si>
  <si>
    <t>focaccia</t>
  </si>
  <si>
    <t>parking</t>
  </si>
  <si>
    <t>peaje</t>
  </si>
  <si>
    <t>iglesia</t>
  </si>
  <si>
    <t>helado</t>
  </si>
  <si>
    <t>Elias</t>
  </si>
  <si>
    <t>iman</t>
  </si>
  <si>
    <t>bus</t>
  </si>
  <si>
    <t>estac</t>
  </si>
  <si>
    <t>cas rey moro</t>
  </si>
  <si>
    <t>puente</t>
  </si>
  <si>
    <t>almuerzo setenil</t>
  </si>
  <si>
    <t>sal</t>
  </si>
  <si>
    <t xml:space="preserve">super </t>
  </si>
  <si>
    <t>comida gibraltar</t>
  </si>
  <si>
    <t>dulces</t>
  </si>
  <si>
    <t>bus tanger</t>
  </si>
  <si>
    <t>50 euros</t>
  </si>
  <si>
    <t>regalos tanger</t>
  </si>
  <si>
    <t>comida ferry</t>
  </si>
  <si>
    <t>imanes tarifa</t>
  </si>
  <si>
    <t>regalo nico</t>
  </si>
  <si>
    <t>ohana</t>
  </si>
  <si>
    <t>cita</t>
  </si>
  <si>
    <t>catedral</t>
  </si>
  <si>
    <t xml:space="preserve">helado cadiz </t>
  </si>
  <si>
    <t>torre</t>
  </si>
  <si>
    <t>super cadiz</t>
  </si>
  <si>
    <t>imanes sevilla</t>
  </si>
  <si>
    <t>super sevilla</t>
  </si>
  <si>
    <t>moto</t>
  </si>
  <si>
    <t>almuerzo sevilla</t>
  </si>
  <si>
    <t>entrada mesquita cordoba</t>
  </si>
  <si>
    <t>paraguas</t>
  </si>
  <si>
    <t xml:space="preserve">cafe </t>
  </si>
  <si>
    <t>castillo</t>
  </si>
  <si>
    <t>netflix</t>
  </si>
  <si>
    <t>bencina 3</t>
  </si>
  <si>
    <t>la taberna</t>
  </si>
  <si>
    <t>voltereta</t>
  </si>
  <si>
    <t>farmacia</t>
  </si>
  <si>
    <t>bagels</t>
  </si>
  <si>
    <t>turrones</t>
  </si>
  <si>
    <t>nov</t>
  </si>
  <si>
    <t>f suiza</t>
  </si>
  <si>
    <t>dic</t>
  </si>
  <si>
    <t>prime</t>
  </si>
  <si>
    <t>asado</t>
  </si>
  <si>
    <t xml:space="preserve">Pescado </t>
  </si>
  <si>
    <t>seguro auto</t>
  </si>
  <si>
    <t xml:space="preserve">Llacolen </t>
  </si>
  <si>
    <t>aguinaldo</t>
  </si>
  <si>
    <t>flores</t>
  </si>
  <si>
    <t>ceiba</t>
  </si>
  <si>
    <t>brunch</t>
  </si>
  <si>
    <t>kioskclub</t>
  </si>
  <si>
    <t>quicklunch</t>
  </si>
  <si>
    <t>aguinaldo elma</t>
  </si>
  <si>
    <t>rescate</t>
  </si>
  <si>
    <t xml:space="preserve">Plantas </t>
  </si>
  <si>
    <t>bomberos</t>
  </si>
  <si>
    <t>comida lola</t>
  </si>
  <si>
    <t>jose</t>
  </si>
  <si>
    <t>ene</t>
  </si>
  <si>
    <t>sushi</t>
  </si>
  <si>
    <t>reserva show</t>
  </si>
  <si>
    <t xml:space="preserve">Revolvedores Lola </t>
  </si>
  <si>
    <t xml:space="preserve">Globos y helio </t>
  </si>
  <si>
    <t>uner eats copete</t>
  </si>
  <si>
    <t>paddle y comida</t>
  </si>
  <si>
    <t>pizzas</t>
  </si>
  <si>
    <t>letras seba</t>
  </si>
  <si>
    <t xml:space="preserve">focaccia </t>
  </si>
  <si>
    <t xml:space="preserve">Subway </t>
  </si>
  <si>
    <t>lider</t>
  </si>
  <si>
    <t xml:space="preserve">Airbnb </t>
  </si>
  <si>
    <t>apap johns</t>
  </si>
  <si>
    <t>Ikea</t>
  </si>
  <si>
    <t>peluqueri</t>
  </si>
  <si>
    <t>soap Jose</t>
  </si>
  <si>
    <t>impermeabilizante</t>
  </si>
  <si>
    <t>adelanto de cuota</t>
  </si>
  <si>
    <t>lapices y hojas</t>
  </si>
  <si>
    <t>palmeras</t>
  </si>
  <si>
    <t>30% alex</t>
  </si>
  <si>
    <t>50% Posada</t>
  </si>
  <si>
    <t>frok</t>
  </si>
  <si>
    <t>show</t>
  </si>
  <si>
    <t>sodimac</t>
  </si>
  <si>
    <t>shampoo</t>
  </si>
  <si>
    <t>uber eats</t>
  </si>
  <si>
    <t>cuchufli</t>
  </si>
  <si>
    <t>fotografo</t>
  </si>
  <si>
    <t>dj</t>
  </si>
  <si>
    <t>regalo</t>
  </si>
  <si>
    <t>musica</t>
  </si>
  <si>
    <t>perros</t>
  </si>
  <si>
    <t xml:space="preserve">bencina </t>
  </si>
  <si>
    <t>enel</t>
  </si>
  <si>
    <t>social</t>
  </si>
  <si>
    <t>bar viernes</t>
  </si>
  <si>
    <t>ggcc</t>
  </si>
  <si>
    <t>gas</t>
  </si>
  <si>
    <t>permiso mokka</t>
  </si>
  <si>
    <t>alfombra</t>
  </si>
  <si>
    <t>regalos</t>
  </si>
  <si>
    <t>mantencion aire</t>
  </si>
  <si>
    <t>masaje</t>
  </si>
  <si>
    <t>pbenutez</t>
  </si>
  <si>
    <t xml:space="preserve">regalo papá </t>
  </si>
  <si>
    <t xml:space="preserve">Neat </t>
  </si>
  <si>
    <t>dentista</t>
  </si>
  <si>
    <t>neat</t>
  </si>
  <si>
    <t>cubiertos</t>
  </si>
  <si>
    <t>uber</t>
  </si>
  <si>
    <t>papa johns</t>
  </si>
  <si>
    <t xml:space="preserve">Hamburguesas Conce </t>
  </si>
  <si>
    <t>carnaval</t>
  </si>
  <si>
    <t>pizzas chicos</t>
  </si>
  <si>
    <t>pizza</t>
  </si>
  <si>
    <t>pajarera</t>
  </si>
  <si>
    <t>netflix amazon</t>
  </si>
  <si>
    <t>reserva</t>
  </si>
  <si>
    <t xml:space="preserve">permiso circulación </t>
  </si>
  <si>
    <t>plata auto</t>
  </si>
  <si>
    <t>carga</t>
  </si>
  <si>
    <t>impuesto jose</t>
  </si>
  <si>
    <t xml:space="preserve">Shell almuerzo </t>
  </si>
  <si>
    <t xml:space="preserve">Asiento LATAM </t>
  </si>
  <si>
    <t>carga auto 28/5</t>
  </si>
  <si>
    <t>auto 30/5</t>
  </si>
  <si>
    <t>seguro mokka</t>
  </si>
  <si>
    <t>superzoo</t>
  </si>
  <si>
    <t>carga 31/5</t>
  </si>
  <si>
    <t>carga auto 1/6</t>
  </si>
  <si>
    <t>accesorios auto</t>
  </si>
  <si>
    <t>chapa</t>
  </si>
  <si>
    <t>pizzasy starbucks</t>
  </si>
  <si>
    <t>carga 6/7</t>
  </si>
  <si>
    <t>cosas auto 5000</t>
  </si>
  <si>
    <t>Seguro moka</t>
  </si>
  <si>
    <t xml:space="preserve">Papá Johns </t>
  </si>
  <si>
    <t xml:space="preserve">Carga auto </t>
  </si>
  <si>
    <t>cosas auto</t>
  </si>
  <si>
    <t xml:space="preserve">Street burger </t>
  </si>
  <si>
    <t>oxxo</t>
  </si>
  <si>
    <t>burgas</t>
  </si>
  <si>
    <t xml:space="preserve">Cuota auto </t>
  </si>
  <si>
    <t>chanel</t>
  </si>
  <si>
    <t>pipsas</t>
  </si>
  <si>
    <t>Maximo</t>
  </si>
  <si>
    <t>Minimo</t>
  </si>
  <si>
    <t>Promedio</t>
  </si>
  <si>
    <t>Marzo 21</t>
  </si>
  <si>
    <t>Abril 21</t>
  </si>
  <si>
    <t>Mayo 21</t>
  </si>
  <si>
    <t>Junio 21</t>
  </si>
  <si>
    <t>Julio 21</t>
  </si>
  <si>
    <t>noviembre 21</t>
  </si>
  <si>
    <t>diciembre 21</t>
  </si>
  <si>
    <t>enero 22</t>
  </si>
  <si>
    <t>febrero 22</t>
  </si>
  <si>
    <t>marzo 22</t>
  </si>
  <si>
    <t>abril 22</t>
  </si>
  <si>
    <t>mayo 22</t>
  </si>
  <si>
    <t>junio 22</t>
  </si>
  <si>
    <t>julio 22</t>
  </si>
  <si>
    <t>agosto 22</t>
  </si>
  <si>
    <t>septiembre 22</t>
  </si>
  <si>
    <t>octubre 22</t>
  </si>
  <si>
    <t>noviembre 22</t>
  </si>
  <si>
    <t>diciembre 22</t>
  </si>
  <si>
    <t>enero 23</t>
  </si>
  <si>
    <t>febrero 23</t>
  </si>
  <si>
    <t>marzo 23</t>
  </si>
  <si>
    <t>abril 23</t>
  </si>
  <si>
    <t>mayo 23</t>
  </si>
  <si>
    <t>junio 23</t>
  </si>
  <si>
    <t>julio 23</t>
  </si>
  <si>
    <t>agosto 23</t>
  </si>
  <si>
    <t>septiembre 23</t>
  </si>
  <si>
    <t>octubre 23</t>
  </si>
  <si>
    <t>noviembre 23</t>
  </si>
  <si>
    <t>diciembre 23</t>
  </si>
  <si>
    <t>enero 24</t>
  </si>
  <si>
    <t>febrero 24</t>
  </si>
  <si>
    <t>marzo 24</t>
  </si>
  <si>
    <t>abril 24</t>
  </si>
  <si>
    <t>mayo 24</t>
  </si>
  <si>
    <t>junio 24</t>
  </si>
  <si>
    <t>julio 24</t>
  </si>
  <si>
    <t>agosto 24</t>
  </si>
  <si>
    <t>septiembre 24</t>
  </si>
  <si>
    <t>octubre 24</t>
  </si>
  <si>
    <t>noviembre 24</t>
  </si>
  <si>
    <t>diciembre 24</t>
  </si>
  <si>
    <t>enero 25</t>
  </si>
  <si>
    <t>febrero 25</t>
  </si>
  <si>
    <t>marzo 25</t>
  </si>
  <si>
    <t>abril 25</t>
  </si>
  <si>
    <t>mayo 25</t>
  </si>
  <si>
    <t>junio 25</t>
  </si>
  <si>
    <t>julio 25</t>
  </si>
  <si>
    <t>agosto 25</t>
  </si>
  <si>
    <t>sep 25</t>
  </si>
  <si>
    <t>oct 25</t>
  </si>
  <si>
    <t>nov 25</t>
  </si>
  <si>
    <t>dic 25</t>
  </si>
  <si>
    <t>ene 26</t>
  </si>
  <si>
    <t>Lavandería</t>
  </si>
  <si>
    <t>Imposiciones</t>
  </si>
  <si>
    <t>Total</t>
  </si>
  <si>
    <t>Para añadir o cambiar categorías, modifica las tablas "Ingresos" y "Gastos" de la hoja "Resumen".</t>
  </si>
  <si>
    <t xml:space="preserve">Pagado </t>
  </si>
  <si>
    <t>Fecha</t>
  </si>
  <si>
    <t>Importe</t>
  </si>
  <si>
    <t>Descripción</t>
  </si>
  <si>
    <t>Categoría</t>
  </si>
  <si>
    <t>Status</t>
  </si>
  <si>
    <t>GTD</t>
  </si>
  <si>
    <t>Gas</t>
  </si>
  <si>
    <t>nana</t>
  </si>
  <si>
    <t>suscripcion super</t>
  </si>
  <si>
    <t>Super</t>
  </si>
  <si>
    <t>ecook</t>
  </si>
  <si>
    <t>contribuciones</t>
  </si>
  <si>
    <t>Contribuciones</t>
  </si>
  <si>
    <t>corner 4</t>
  </si>
  <si>
    <t>Cornershop III</t>
  </si>
  <si>
    <t>Cornershop I</t>
  </si>
  <si>
    <t>Cornershop II</t>
  </si>
  <si>
    <t xml:space="preserve">imposiciones </t>
  </si>
  <si>
    <t>lavan</t>
  </si>
  <si>
    <t>nana 2</t>
  </si>
  <si>
    <t>corner</t>
  </si>
  <si>
    <t>NOMBRE</t>
  </si>
  <si>
    <t>FECHA</t>
  </si>
  <si>
    <t>HORA</t>
  </si>
  <si>
    <t>Rodrigo Valenzuela</t>
  </si>
  <si>
    <t>Jueves 27 de feb.</t>
  </si>
  <si>
    <t>Alejandro Vergara</t>
  </si>
  <si>
    <t>Maria Alicia Azocar</t>
  </si>
  <si>
    <t>Gabriela Silva</t>
  </si>
  <si>
    <t>Josefina Guzman</t>
  </si>
  <si>
    <t>Margot Maqueira</t>
  </si>
  <si>
    <t>Richard Contreras</t>
  </si>
  <si>
    <t>jueves 27 de feb.</t>
  </si>
  <si>
    <t>17:00 hrs.</t>
  </si>
  <si>
    <t>cornershop IV</t>
  </si>
  <si>
    <t>Cornershop V</t>
  </si>
  <si>
    <t>VTR</t>
  </si>
  <si>
    <t xml:space="preserve">nana </t>
  </si>
  <si>
    <t>Sodimac</t>
  </si>
  <si>
    <t>nana  fio</t>
  </si>
  <si>
    <t>imposiciones fio</t>
  </si>
  <si>
    <t>nana 3</t>
  </si>
  <si>
    <t>Ganancias</t>
  </si>
  <si>
    <t>Debe a --&gt;</t>
  </si>
  <si>
    <t>Fio</t>
  </si>
  <si>
    <t>super finde visitas</t>
  </si>
  <si>
    <t>Pagado Javier</t>
  </si>
  <si>
    <t>Pagado Fio</t>
  </si>
  <si>
    <t xml:space="preserve">Nana </t>
  </si>
  <si>
    <t>------------------------</t>
  </si>
  <si>
    <t>Tipo</t>
  </si>
  <si>
    <t>Fijo</t>
  </si>
  <si>
    <t>Var</t>
  </si>
  <si>
    <t>Nana 1</t>
  </si>
  <si>
    <t>Nana 2</t>
  </si>
  <si>
    <t>Nana 3</t>
  </si>
  <si>
    <t>Nana 4</t>
  </si>
  <si>
    <t>Unimarc</t>
  </si>
  <si>
    <t xml:space="preserve">Cuenta </t>
  </si>
  <si>
    <t>aliexpress</t>
  </si>
  <si>
    <t>Cornershop pop</t>
  </si>
  <si>
    <t>jav</t>
  </si>
  <si>
    <t>Cuota</t>
  </si>
  <si>
    <t>Pendiente</t>
  </si>
  <si>
    <t>fio</t>
  </si>
  <si>
    <t>I Tottus</t>
  </si>
  <si>
    <t>Filtro llave</t>
  </si>
  <si>
    <t>Devolución filtro</t>
  </si>
  <si>
    <t>Devoluciones</t>
  </si>
  <si>
    <t>Carga + tarjeta prontomatic</t>
  </si>
  <si>
    <t>Productos de limpieza</t>
  </si>
  <si>
    <t>Sodimac 1</t>
  </si>
  <si>
    <t>Sodimac 2</t>
  </si>
  <si>
    <t>II Lider</t>
  </si>
  <si>
    <t>Sodimac 3</t>
  </si>
  <si>
    <t>Sodimac 4</t>
  </si>
  <si>
    <t>jAV</t>
  </si>
  <si>
    <t xml:space="preserve">Luz </t>
  </si>
  <si>
    <t xml:space="preserve">Arriendo </t>
  </si>
  <si>
    <t>III Cornershop</t>
  </si>
  <si>
    <t>IV Cornershop</t>
  </si>
  <si>
    <t>consumo</t>
  </si>
  <si>
    <t>$$</t>
  </si>
  <si>
    <t>$/cm3</t>
  </si>
  <si>
    <t>sept</t>
  </si>
  <si>
    <t>oct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</si>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</sst>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[$€]#,##0"/>
    <numFmt numFmtId="166" formatCode="&quot;$&quot;#,##0.00"/>
    <numFmt numFmtId="167" formatCode="+$#,#;-$#,#;$0"/>
    <numFmt numFmtId="168" formatCode="mmmm d"/>
    <numFmt numFmtId="169" formatCode="dd/mm/yyyy"/>
    <numFmt numFmtId="170" formatCode="d/m"/>
    <numFmt numFmtId="171" formatCode="_-&quot;$&quot;* #,##0_-;_-&quot;$&quot;* \-#,##0_-;_-&quot;$&quot;* &quot;-&quot;??_-;_-@"/>
    <numFmt numFmtId="172" formatCode="M/d/yyyy"/>
  </numFmts>
  <fonts count="45">
    <font>
      <sz val="10.0"/>
      <color rgb="FF000000"/>
      <name val="Arial"/>
    </font>
    <font>
      <name val="Lato"/>
    </font>
    <font>
      <sz val="11.0"/>
      <color rgb="FF000000"/>
      <name val="Inconsolata"/>
    </font>
    <font>
      <sz val="14.0"/>
      <name val="Lato"/>
    </font>
    <font>
      <b/>
      <sz val="14.0"/>
      <color rgb="FF334960"/>
      <name val="Lato"/>
    </font>
    <font>
      <sz val="10.0"/>
      <color rgb="FF576475"/>
      <name val="Lato"/>
    </font>
    <font>
      <b/>
      <sz val="10.0"/>
      <color rgb="FF576475"/>
      <name val="Lato"/>
    </font>
    <font>
      <sz val="10.0"/>
      <name val="Lato"/>
    </font>
    <font>
      <b/>
      <color rgb="FF334960"/>
      <name val="Lato"/>
    </font>
    <font>
      <sz val="10.0"/>
      <color rgb="FF334960"/>
      <name val="Lato"/>
    </font>
    <font>
      <color rgb="FF334960"/>
      <name val="Lato"/>
    </font>
    <font>
      <sz val="10.0"/>
      <color rgb="FF666666"/>
      <name val="Lato"/>
    </font>
    <font>
      <b/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name val="Lato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10.0"/>
      <color rgb="FF576475"/>
      <name val="Lato"/>
    </font>
    <font>
      <i/>
      <sz val="9.0"/>
      <color rgb="FF687887"/>
      <name val="Lato"/>
    </font>
    <font>
      <b/>
      <sz val="10.0"/>
      <color rgb="FF434343"/>
      <name val="Lato"/>
    </font>
    <font/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b/>
    </font>
    <font>
      <sz val="11.0"/>
      <name val="Calibri"/>
    </font>
    <font>
      <name val="Arial"/>
    </font>
    <font>
      <b/>
      <sz val="11.0"/>
      <name val="Calibri"/>
    </font>
    <font>
      <b/>
      <name val="Arial"/>
    </font>
    <font>
      <i/>
      <sz val="10.0"/>
      <color rgb="FF708090"/>
      <name val="Lato"/>
    </font>
    <font>
      <i/>
      <sz val="10.0"/>
      <color rgb="FFCCCCCC"/>
      <name val="Lato"/>
    </font>
    <font>
      <sz val="10.0"/>
      <color rgb="FFF46524"/>
      <name val="Lato"/>
    </font>
    <font>
      <sz val="10.0"/>
      <color rgb="FF556376"/>
      <name val="Lato"/>
    </font>
    <font>
      <sz val="10.0"/>
      <color rgb="FFCCCCCC"/>
      <name val="Lato"/>
    </font>
    <font>
      <color rgb="FFCCCCCC"/>
      <name val="Lato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name val="Lato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4960"/>
        <bgColor rgb="FF334960"/>
      </patternFill>
    </fill>
    <fill>
      <patternFill patternType="solid">
        <fgColor rgb="FFCCCCCC"/>
        <bgColor rgb="FFCCCCCC"/>
      </patternFill>
    </fill>
  </fills>
  <borders count="26">
    <border/>
    <border>
      <bottom style="thin">
        <color rgb="FFFFFFFF"/>
      </bottom>
    </border>
    <border>
      <top style="thin">
        <color rgb="FFA7B0B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A7B0B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164" xfId="0" applyFill="1" applyFont="1" applyNumberFormat="1"/>
    <xf borderId="0" fillId="0" fontId="1" numFmtId="165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166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 vertical="top"/>
    </xf>
    <xf borderId="0" fillId="0" fontId="3" numFmtId="0" xfId="0" applyAlignment="1" applyFont="1">
      <alignment vertical="center"/>
    </xf>
    <xf borderId="0" fillId="0" fontId="4" numFmtId="165" xfId="0" applyAlignment="1" applyFont="1" applyNumberFormat="1">
      <alignment horizontal="left" readingOrder="0" vertical="center"/>
    </xf>
    <xf borderId="0" fillId="0" fontId="3" numFmtId="165" xfId="0" applyAlignment="1" applyFont="1" applyNumberFormat="1">
      <alignment vertical="center"/>
    </xf>
    <xf borderId="0" fillId="0" fontId="3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6" numFmtId="165" xfId="0" applyAlignment="1" applyFont="1" applyNumberFormat="1">
      <alignment horizontal="left" readingOrder="0" vertical="center"/>
    </xf>
    <xf borderId="0" fillId="0" fontId="5" numFmtId="164" xfId="0" applyAlignment="1" applyFont="1" applyNumberFormat="1">
      <alignment horizontal="right" vertical="center"/>
    </xf>
    <xf borderId="0" fillId="2" fontId="5" numFmtId="165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7" numFmtId="164" xfId="0" applyAlignment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8" numFmtId="165" xfId="0" applyAlignment="1" applyFont="1" applyNumberForma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left" vertical="center"/>
    </xf>
    <xf borderId="0" fillId="2" fontId="8" numFmtId="165" xfId="0" applyAlignment="1" applyFont="1" applyNumberFormat="1">
      <alignment horizontal="left" readingOrder="0" vertical="center"/>
    </xf>
    <xf borderId="0" fillId="2" fontId="1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left" readingOrder="0" vertical="center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vertical="bottom"/>
    </xf>
    <xf borderId="0" fillId="3" fontId="12" numFmtId="165" xfId="0" applyAlignment="1" applyFill="1" applyFont="1" applyNumberFormat="1">
      <alignment horizontal="left" readingOrder="0"/>
    </xf>
    <xf borderId="0" fillId="3" fontId="11" numFmtId="164" xfId="0" applyAlignment="1" applyFont="1" applyNumberFormat="1">
      <alignment horizontal="right" readingOrder="0"/>
    </xf>
    <xf borderId="0" fillId="2" fontId="7" numFmtId="165" xfId="0" applyAlignment="1" applyFont="1" applyNumberFormat="1">
      <alignment vertical="bottom"/>
    </xf>
    <xf borderId="0" fillId="0" fontId="12" numFmtId="165" xfId="0" applyAlignment="1" applyFont="1" applyNumberFormat="1">
      <alignment horizontal="left"/>
    </xf>
    <xf borderId="0" fillId="0" fontId="11" numFmtId="165" xfId="0" applyAlignment="1" applyFont="1" applyNumberFormat="1">
      <alignment horizontal="right"/>
    </xf>
    <xf borderId="0" fillId="0" fontId="12" numFmtId="165" xfId="0" applyAlignment="1" applyFont="1" applyNumberFormat="1">
      <alignment horizontal="left" readingOrder="0"/>
    </xf>
    <xf borderId="0" fillId="0" fontId="13" numFmtId="0" xfId="0" applyAlignment="1" applyFont="1">
      <alignment vertical="top"/>
    </xf>
    <xf borderId="0" fillId="0" fontId="14" numFmtId="165" xfId="0" applyAlignment="1" applyFont="1" applyNumberFormat="1">
      <alignment horizontal="left" readingOrder="0" vertical="top"/>
    </xf>
    <xf borderId="0" fillId="0" fontId="15" numFmtId="165" xfId="0" applyAlignment="1" applyFont="1" applyNumberFormat="1">
      <alignment vertical="top"/>
    </xf>
    <xf borderId="0" fillId="0" fontId="13" numFmtId="165" xfId="0" applyAlignment="1" applyFont="1" applyNumberFormat="1">
      <alignment horizontal="right" vertical="top"/>
    </xf>
    <xf borderId="0" fillId="0" fontId="16" numFmtId="165" xfId="0" applyAlignment="1" applyFont="1" applyNumberFormat="1">
      <alignment horizontal="left" readingOrder="0" vertical="top"/>
    </xf>
    <xf borderId="0" fillId="0" fontId="17" numFmtId="165" xfId="0" applyAlignment="1" applyFont="1" applyNumberFormat="1">
      <alignment horizontal="left" vertical="top"/>
    </xf>
    <xf borderId="0" fillId="0" fontId="13" numFmtId="0" xfId="0" applyAlignment="1" applyFont="1">
      <alignment horizontal="center" readingOrder="0" vertical="top"/>
    </xf>
    <xf borderId="1" fillId="0" fontId="9" numFmtId="0" xfId="0" applyAlignment="1" applyBorder="1" applyFont="1">
      <alignment vertical="bottom"/>
    </xf>
    <xf borderId="2" fillId="0" fontId="18" numFmtId="165" xfId="0" applyAlignment="1" applyBorder="1" applyFont="1" applyNumberFormat="1">
      <alignment horizontal="right" vertical="bottom"/>
    </xf>
    <xf borderId="2" fillId="0" fontId="19" numFmtId="165" xfId="0" applyAlignment="1" applyBorder="1" applyFont="1" applyNumberFormat="1">
      <alignment horizontal="left" vertical="bottom"/>
    </xf>
    <xf borderId="2" fillId="0" fontId="18" numFmtId="165" xfId="0" applyAlignment="1" applyBorder="1" applyFont="1" applyNumberFormat="1">
      <alignment horizontal="right" readingOrder="0" vertical="bottom"/>
    </xf>
    <xf borderId="1" fillId="0" fontId="9" numFmtId="165" xfId="0" applyAlignment="1" applyBorder="1" applyFont="1" applyNumberFormat="1">
      <alignment horizontal="right" vertical="bottom"/>
    </xf>
    <xf borderId="2" fillId="0" fontId="20" numFmtId="165" xfId="0" applyAlignment="1" applyBorder="1" applyFont="1" applyNumberFormat="1">
      <alignment horizontal="left" vertical="bottom"/>
    </xf>
    <xf borderId="2" fillId="0" fontId="21" numFmtId="165" xfId="0" applyAlignment="1" applyBorder="1" applyFont="1" applyNumberFormat="1">
      <alignment horizontal="left" vertical="bottom"/>
    </xf>
    <xf borderId="0" fillId="0" fontId="22" numFmtId="0" xfId="0" applyAlignment="1" applyFont="1">
      <alignment horizontal="left" readingOrder="0" shrinkToFit="0" vertical="top" wrapText="0"/>
    </xf>
    <xf borderId="3" fillId="0" fontId="22" numFmtId="0" xfId="0" applyAlignment="1" applyBorder="1" applyFont="1">
      <alignment horizontal="left" readingOrder="0" shrinkToFit="0" vertical="top" wrapText="0"/>
    </xf>
    <xf borderId="0" fillId="0" fontId="9" numFmtId="164" xfId="0" applyAlignment="1" applyFont="1" applyNumberFormat="1">
      <alignment readingOrder="0" vertical="bottom"/>
    </xf>
    <xf borderId="0" fillId="0" fontId="9" numFmtId="164" xfId="0" applyAlignment="1" applyFont="1" applyNumberFormat="1">
      <alignment vertical="bottom"/>
    </xf>
    <xf borderId="0" fillId="0" fontId="23" numFmtId="0" xfId="0" applyAlignment="1" applyFont="1">
      <alignment readingOrder="0" vertical="top"/>
    </xf>
    <xf borderId="4" fillId="0" fontId="23" numFmtId="165" xfId="0" applyAlignment="1" applyBorder="1" applyFont="1" applyNumberFormat="1">
      <alignment readingOrder="0" vertical="top"/>
    </xf>
    <xf borderId="4" fillId="0" fontId="23" numFmtId="165" xfId="0" applyAlignment="1" applyBorder="1" applyFont="1" applyNumberFormat="1">
      <alignment vertical="top"/>
    </xf>
    <xf borderId="4" fillId="0" fontId="23" numFmtId="164" xfId="0" applyAlignment="1" applyBorder="1" applyFont="1" applyNumberFormat="1">
      <alignment horizontal="right" vertical="top"/>
    </xf>
    <xf borderId="0" fillId="0" fontId="23" numFmtId="165" xfId="0" applyAlignment="1" applyFont="1" applyNumberFormat="1">
      <alignment horizontal="right" vertical="top"/>
    </xf>
    <xf borderId="4" fillId="0" fontId="23" numFmtId="165" xfId="0" applyAlignment="1" applyBorder="1" applyFont="1" applyNumberFormat="1">
      <alignment horizontal="left" readingOrder="0" vertical="top"/>
    </xf>
    <xf borderId="4" fillId="0" fontId="23" numFmtId="165" xfId="0" applyAlignment="1" applyBorder="1" applyFont="1" applyNumberFormat="1">
      <alignment horizontal="right" readingOrder="0" vertical="top"/>
    </xf>
    <xf borderId="0" fillId="0" fontId="23" numFmtId="0" xfId="0" applyAlignment="1" applyFont="1">
      <alignment vertical="top"/>
    </xf>
    <xf borderId="5" fillId="0" fontId="1" numFmtId="0" xfId="0" applyAlignment="1" applyBorder="1" applyFont="1">
      <alignment readingOrder="0"/>
    </xf>
    <xf borderId="6" fillId="0" fontId="1" numFmtId="164" xfId="0" applyBorder="1" applyFont="1" applyNumberFormat="1"/>
    <xf borderId="0" fillId="0" fontId="23" numFmtId="10" xfId="0" applyAlignment="1" applyFont="1" applyNumberFormat="1">
      <alignment vertical="top"/>
    </xf>
    <xf borderId="0" fillId="0" fontId="9" numFmtId="0" xfId="0" applyAlignment="1" applyFont="1">
      <alignment readingOrder="0" vertical="center"/>
    </xf>
    <xf borderId="7" fillId="0" fontId="24" numFmtId="165" xfId="0" applyAlignment="1" applyBorder="1" applyFont="1" applyNumberFormat="1">
      <alignment readingOrder="0" vertical="center"/>
    </xf>
    <xf borderId="8" fillId="0" fontId="25" numFmtId="0" xfId="0" applyBorder="1" applyFont="1"/>
    <xf borderId="9" fillId="0" fontId="26" numFmtId="164" xfId="0" applyAlignment="1" applyBorder="1" applyFont="1" applyNumberFormat="1">
      <alignment horizontal="right" readingOrder="0" vertical="center"/>
    </xf>
    <xf borderId="0" fillId="0" fontId="26" numFmtId="164" xfId="0" applyAlignment="1" applyFont="1" applyNumberFormat="1">
      <alignment horizontal="right" vertical="center"/>
    </xf>
    <xf borderId="0" fillId="0" fontId="27" numFmtId="164" xfId="0" applyAlignment="1" applyFont="1" applyNumberFormat="1">
      <alignment horizontal="right" vertical="center"/>
    </xf>
    <xf borderId="0" fillId="0" fontId="9" numFmtId="0" xfId="0" applyAlignment="1" applyFont="1">
      <alignment horizontal="left" readingOrder="0" vertical="center"/>
    </xf>
    <xf borderId="10" fillId="0" fontId="25" numFmtId="0" xfId="0" applyBorder="1" applyFont="1"/>
    <xf borderId="0" fillId="0" fontId="9" numFmtId="0" xfId="0" applyAlignment="1" applyFont="1">
      <alignment vertical="center"/>
    </xf>
    <xf borderId="11" fillId="0" fontId="7" numFmtId="0" xfId="0" applyAlignment="1" applyBorder="1" applyFont="1">
      <alignment readingOrder="0" vertical="center"/>
    </xf>
    <xf borderId="12" fillId="0" fontId="7" numFmtId="164" xfId="0" applyAlignment="1" applyBorder="1" applyFont="1" applyNumberFormat="1">
      <alignment readingOrder="0" vertical="center"/>
    </xf>
    <xf borderId="0" fillId="0" fontId="9" numFmtId="164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readingOrder="0" vertical="center"/>
    </xf>
    <xf borderId="9" fillId="0" fontId="26" numFmtId="164" xfId="0" applyAlignment="1" applyBorder="1" applyFont="1" applyNumberFormat="1">
      <alignment readingOrder="0" vertical="center"/>
    </xf>
    <xf borderId="7" fillId="0" fontId="28" numFmtId="165" xfId="0" applyAlignment="1" applyBorder="1" applyFont="1" applyNumberFormat="1">
      <alignment readingOrder="0"/>
    </xf>
    <xf borderId="9" fillId="0" fontId="29" numFmtId="165" xfId="0" applyAlignment="1" applyBorder="1" applyFont="1" applyNumberFormat="1">
      <alignment readingOrder="0"/>
    </xf>
    <xf borderId="0" fillId="0" fontId="26" numFmtId="165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right" vertical="center"/>
    </xf>
    <xf borderId="0" fillId="0" fontId="9" numFmtId="164" xfId="0" applyAlignment="1" applyFont="1" applyNumberFormat="1">
      <alignment readingOrder="0" vertical="center"/>
    </xf>
    <xf borderId="9" fillId="0" fontId="24" numFmtId="164" xfId="0" applyAlignment="1" applyBorder="1" applyFont="1" applyNumberFormat="1">
      <alignment horizontal="right" readingOrder="0"/>
    </xf>
    <xf borderId="9" fillId="0" fontId="26" numFmtId="164" xfId="0" applyAlignment="1" applyBorder="1" applyFont="1" applyNumberFormat="1">
      <alignment horizontal="right" readingOrder="0"/>
    </xf>
    <xf borderId="9" fillId="0" fontId="24" numFmtId="164" xfId="0" applyAlignment="1" applyBorder="1" applyFont="1" applyNumberFormat="1">
      <alignment readingOrder="0" vertical="center"/>
    </xf>
    <xf borderId="0" fillId="0" fontId="27" numFmtId="167" xfId="0" applyAlignment="1" applyFont="1" applyNumberFormat="1">
      <alignment horizontal="right" vertical="center"/>
    </xf>
    <xf borderId="9" fillId="0" fontId="28" numFmtId="0" xfId="0" applyAlignment="1" applyBorder="1" applyFont="1">
      <alignment readingOrder="0"/>
    </xf>
    <xf borderId="9" fillId="0" fontId="29" numFmtId="164" xfId="0" applyAlignment="1" applyBorder="1" applyFont="1" applyNumberFormat="1">
      <alignment readingOrder="0"/>
    </xf>
    <xf borderId="7" fillId="0" fontId="24" numFmtId="164" xfId="0" applyAlignment="1" applyBorder="1" applyFont="1" applyNumberFormat="1">
      <alignment readingOrder="0" vertical="center"/>
    </xf>
    <xf borderId="7" fillId="0" fontId="28" numFmtId="0" xfId="0" applyAlignment="1" applyBorder="1" applyFont="1">
      <alignment readingOrder="0"/>
    </xf>
    <xf borderId="13" fillId="0" fontId="30" numFmtId="164" xfId="0" applyAlignment="1" applyBorder="1" applyFont="1" applyNumberFormat="1">
      <alignment readingOrder="0"/>
    </xf>
    <xf borderId="0" fillId="0" fontId="30" numFmtId="0" xfId="0" applyFont="1"/>
    <xf borderId="0" fillId="0" fontId="30" numFmtId="0" xfId="0" applyAlignment="1" applyFont="1">
      <alignment readingOrder="0"/>
    </xf>
    <xf borderId="0" fillId="0" fontId="30" numFmtId="166" xfId="0" applyFont="1" applyNumberFormat="1"/>
    <xf borderId="12" fillId="0" fontId="30" numFmtId="0" xfId="0" applyAlignment="1" applyBorder="1" applyFont="1">
      <alignment readingOrder="0"/>
    </xf>
    <xf borderId="12" fillId="0" fontId="30" numFmtId="164" xfId="0" applyAlignment="1" applyBorder="1" applyFont="1" applyNumberFormat="1">
      <alignment readingOrder="0"/>
    </xf>
    <xf borderId="0" fillId="0" fontId="30" numFmtId="168" xfId="0" applyAlignment="1" applyFont="1" applyNumberFormat="1">
      <alignment readingOrder="0"/>
    </xf>
    <xf borderId="3" fillId="0" fontId="31" numFmtId="0" xfId="0" applyAlignment="1" applyBorder="1" applyFont="1">
      <alignment vertical="bottom"/>
    </xf>
    <xf borderId="14" fillId="0" fontId="31" numFmtId="164" xfId="0" applyAlignment="1" applyBorder="1" applyFont="1" applyNumberFormat="1">
      <alignment vertical="bottom"/>
    </xf>
    <xf borderId="6" fillId="0" fontId="31" numFmtId="164" xfId="0" applyAlignment="1" applyBorder="1" applyFont="1" applyNumberFormat="1">
      <alignment horizontal="right" vertical="bottom"/>
    </xf>
    <xf borderId="0" fillId="0" fontId="25" numFmtId="164" xfId="0" applyAlignment="1" applyFont="1" applyNumberFormat="1">
      <alignment readingOrder="0"/>
    </xf>
    <xf borderId="15" fillId="0" fontId="31" numFmtId="0" xfId="0" applyAlignment="1" applyBorder="1" applyFont="1">
      <alignment vertical="bottom"/>
    </xf>
    <xf borderId="0" fillId="0" fontId="31" numFmtId="164" xfId="0" applyAlignment="1" applyFont="1" applyNumberFormat="1">
      <alignment vertical="bottom"/>
    </xf>
    <xf borderId="16" fillId="0" fontId="31" numFmtId="164" xfId="0" applyAlignment="1" applyBorder="1" applyFont="1" applyNumberFormat="1">
      <alignment horizontal="right" vertical="bottom"/>
    </xf>
    <xf borderId="0" fillId="0" fontId="25" numFmtId="0" xfId="0" applyAlignment="1" applyFont="1">
      <alignment readingOrder="0"/>
    </xf>
    <xf borderId="0" fillId="0" fontId="25" numFmtId="164" xfId="0" applyFont="1" applyNumberFormat="1"/>
    <xf borderId="0" fillId="0" fontId="31" numFmtId="164" xfId="0" applyAlignment="1" applyFont="1" applyNumberFormat="1">
      <alignment horizontal="right" vertical="bottom"/>
    </xf>
    <xf borderId="16" fillId="0" fontId="31" numFmtId="164" xfId="0" applyAlignment="1" applyBorder="1" applyFont="1" applyNumberFormat="1">
      <alignment vertical="bottom"/>
    </xf>
    <xf borderId="15" fillId="0" fontId="25" numFmtId="0" xfId="0" applyAlignment="1" applyBorder="1" applyFont="1">
      <alignment readingOrder="0"/>
    </xf>
    <xf borderId="16" fillId="0" fontId="25" numFmtId="164" xfId="0" applyAlignment="1" applyBorder="1" applyFont="1" applyNumberFormat="1">
      <alignment readingOrder="0"/>
    </xf>
    <xf borderId="16" fillId="0" fontId="25" numFmtId="164" xfId="0" applyBorder="1" applyFont="1" applyNumberFormat="1"/>
    <xf borderId="17" fillId="0" fontId="25" numFmtId="0" xfId="0" applyAlignment="1" applyBorder="1" applyFont="1">
      <alignment readingOrder="0"/>
    </xf>
    <xf borderId="12" fillId="0" fontId="25" numFmtId="164" xfId="0" applyAlignment="1" applyBorder="1" applyFont="1" applyNumberFormat="1">
      <alignment readingOrder="0"/>
    </xf>
    <xf borderId="12" fillId="0" fontId="25" numFmtId="0" xfId="0" applyBorder="1" applyFont="1"/>
    <xf borderId="0" fillId="0" fontId="25" numFmtId="168" xfId="0" applyAlignment="1" applyFont="1" applyNumberFormat="1">
      <alignment readingOrder="0"/>
    </xf>
    <xf borderId="16" fillId="0" fontId="31" numFmtId="0" xfId="0" applyAlignment="1" applyBorder="1" applyFont="1">
      <alignment readingOrder="0" vertical="bottom"/>
    </xf>
    <xf borderId="16" fillId="0" fontId="31" numFmtId="164" xfId="0" applyAlignment="1" applyBorder="1" applyFont="1" applyNumberFormat="1">
      <alignment horizontal="right" readingOrder="0" vertical="bottom"/>
    </xf>
    <xf borderId="16" fillId="0" fontId="31" numFmtId="164" xfId="0" applyAlignment="1" applyBorder="1" applyFont="1" applyNumberFormat="1">
      <alignment readingOrder="0" vertical="bottom"/>
    </xf>
    <xf borderId="0" fillId="0" fontId="31" numFmtId="164" xfId="0" applyAlignment="1" applyFont="1" applyNumberFormat="1">
      <alignment readingOrder="0" vertical="bottom"/>
    </xf>
    <xf borderId="16" fillId="0" fontId="31" numFmtId="164" xfId="0" applyAlignment="1" applyBorder="1" applyFont="1" applyNumberFormat="1">
      <alignment horizontal="right" vertical="bottom"/>
    </xf>
    <xf borderId="0" fillId="0" fontId="31" numFmtId="164" xfId="0" applyAlignment="1" applyFont="1" applyNumberFormat="1">
      <alignment horizontal="right" readingOrder="0" vertical="bottom"/>
    </xf>
    <xf borderId="16" fillId="0" fontId="31" numFmtId="164" xfId="0" applyAlignment="1" applyBorder="1" applyFont="1" applyNumberFormat="1">
      <alignment vertical="bottom"/>
    </xf>
    <xf borderId="16" fillId="0" fontId="25" numFmtId="0" xfId="0" applyAlignment="1" applyBorder="1" applyFont="1">
      <alignment readingOrder="0"/>
    </xf>
    <xf borderId="16" fillId="0" fontId="25" numFmtId="164" xfId="0" applyAlignment="1" applyBorder="1" applyFont="1" applyNumberFormat="1">
      <alignment readingOrder="0"/>
    </xf>
    <xf borderId="16" fillId="0" fontId="25" numFmtId="164" xfId="0" applyBorder="1" applyFont="1" applyNumberFormat="1"/>
    <xf borderId="16" fillId="0" fontId="25" numFmtId="0" xfId="0" applyBorder="1" applyFont="1"/>
    <xf borderId="0" fillId="0" fontId="25" numFmtId="164" xfId="0" applyFont="1" applyNumberFormat="1"/>
    <xf borderId="0" fillId="0" fontId="32" numFmtId="0" xfId="0" applyAlignment="1" applyFont="1">
      <alignment vertical="bottom"/>
    </xf>
    <xf borderId="0" fillId="0" fontId="32" numFmtId="166" xfId="0" applyAlignment="1" applyFont="1" applyNumberFormat="1">
      <alignment horizontal="right" vertical="bottom"/>
    </xf>
    <xf borderId="0" fillId="0" fontId="32" numFmtId="164" xfId="0" applyAlignment="1" applyFont="1" applyNumberFormat="1">
      <alignment horizontal="right" vertical="bottom"/>
    </xf>
    <xf borderId="16" fillId="0" fontId="33" numFmtId="0" xfId="0" applyAlignment="1" applyBorder="1" applyFont="1">
      <alignment readingOrder="0" vertical="bottom"/>
    </xf>
    <xf borderId="0" fillId="0" fontId="25" numFmtId="3" xfId="0" applyAlignment="1" applyFont="1" applyNumberFormat="1">
      <alignment readingOrder="0"/>
    </xf>
    <xf borderId="0" fillId="0" fontId="25" numFmtId="166" xfId="0" applyFont="1" applyNumberFormat="1"/>
    <xf borderId="0" fillId="0" fontId="32" numFmtId="0" xfId="0" applyAlignment="1" applyFont="1">
      <alignment readingOrder="0" vertical="bottom"/>
    </xf>
    <xf borderId="0" fillId="0" fontId="32" numFmtId="166" xfId="0" applyAlignment="1" applyFont="1" applyNumberFormat="1">
      <alignment horizontal="right" readingOrder="0" vertical="bottom"/>
    </xf>
    <xf borderId="5" fillId="0" fontId="30" numFmtId="0" xfId="0" applyAlignment="1" applyBorder="1" applyFont="1">
      <alignment horizontal="center" readingOrder="0"/>
    </xf>
    <xf borderId="14" fillId="0" fontId="30" numFmtId="0" xfId="0" applyAlignment="1" applyBorder="1" applyFont="1">
      <alignment horizontal="center" readingOrder="0"/>
    </xf>
    <xf borderId="6" fillId="0" fontId="30" numFmtId="0" xfId="0" applyAlignment="1" applyBorder="1" applyFont="1">
      <alignment horizontal="center" readingOrder="0"/>
    </xf>
    <xf borderId="0" fillId="0" fontId="30" numFmtId="168" xfId="0" applyAlignment="1" applyFont="1" applyNumberFormat="1">
      <alignment horizontal="center" readingOrder="0"/>
    </xf>
    <xf borderId="16" fillId="0" fontId="30" numFmtId="168" xfId="0" applyAlignment="1" applyBorder="1" applyFont="1" applyNumberFormat="1">
      <alignment horizontal="center" readingOrder="0"/>
    </xf>
    <xf quotePrefix="1" borderId="0" fillId="0" fontId="30" numFmtId="0" xfId="0" applyAlignment="1" applyFont="1">
      <alignment horizontal="center" readingOrder="0"/>
    </xf>
    <xf borderId="0" fillId="0" fontId="30" numFmtId="49" xfId="0" applyAlignment="1" applyFont="1" applyNumberFormat="1">
      <alignment horizontal="center"/>
    </xf>
    <xf borderId="0" fillId="0" fontId="34" numFmtId="49" xfId="0" applyAlignment="1" applyFont="1" applyNumberFormat="1">
      <alignment horizontal="center" readingOrder="0" vertical="bottom"/>
    </xf>
    <xf borderId="0" fillId="0" fontId="34" numFmtId="49" xfId="0" applyAlignment="1" applyFont="1" applyNumberFormat="1">
      <alignment horizontal="center" vertical="bottom"/>
    </xf>
    <xf borderId="0" fillId="0" fontId="25" numFmtId="0" xfId="0" applyAlignment="1" applyFont="1">
      <alignment readingOrder="0"/>
    </xf>
    <xf borderId="18" fillId="0" fontId="25" numFmtId="164" xfId="0" applyBorder="1" applyFont="1" applyNumberFormat="1"/>
    <xf borderId="19" fillId="0" fontId="25" numFmtId="0" xfId="0" applyAlignment="1" applyBorder="1" applyFont="1">
      <alignment readingOrder="0"/>
    </xf>
    <xf borderId="19" fillId="0" fontId="25" numFmtId="164" xfId="0" applyBorder="1" applyFont="1" applyNumberFormat="1"/>
    <xf borderId="19" fillId="0" fontId="25" numFmtId="0" xfId="0" applyBorder="1" applyFont="1"/>
    <xf borderId="20" fillId="0" fontId="25" numFmtId="0" xfId="0" applyBorder="1" applyFont="1"/>
    <xf borderId="0" fillId="0" fontId="25" numFmtId="10" xfId="0" applyFont="1" applyNumberFormat="1"/>
    <xf borderId="0" fillId="0" fontId="25" numFmtId="10" xfId="0" applyAlignment="1" applyFont="1" applyNumberFormat="1">
      <alignment readingOrder="0"/>
    </xf>
    <xf borderId="0" fillId="4" fontId="35" numFmtId="0" xfId="0" applyAlignment="1" applyFill="1" applyFont="1">
      <alignment vertical="center"/>
    </xf>
    <xf borderId="0" fillId="4" fontId="36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vertical="bottom"/>
    </xf>
    <xf borderId="0" fillId="0" fontId="16" numFmtId="0" xfId="0" applyAlignment="1" applyFont="1">
      <alignment horizontal="left" readingOrder="0" vertical="bottom"/>
    </xf>
    <xf borderId="0" fillId="0" fontId="37" numFmtId="164" xfId="0" applyAlignment="1" applyFont="1" applyNumberFormat="1">
      <alignment horizontal="center" vertical="bottom"/>
    </xf>
    <xf borderId="0" fillId="2" fontId="37" numFmtId="0" xfId="0" applyAlignment="1" applyFont="1">
      <alignment vertical="bottom"/>
    </xf>
    <xf borderId="21" fillId="0" fontId="7" numFmtId="0" xfId="0" applyAlignment="1" applyBorder="1" applyFont="1">
      <alignment vertical="bottom"/>
    </xf>
    <xf borderId="21" fillId="0" fontId="7" numFmtId="164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readingOrder="0" vertical="center"/>
    </xf>
    <xf borderId="6" fillId="0" fontId="7" numFmtId="164" xfId="0" applyAlignment="1" applyBorder="1" applyFont="1" applyNumberFormat="1">
      <alignment vertical="center"/>
    </xf>
    <xf borderId="0" fillId="2" fontId="7" numFmtId="0" xfId="0" applyAlignment="1" applyFont="1">
      <alignment vertical="bottom"/>
    </xf>
    <xf borderId="0" fillId="2" fontId="25" numFmtId="0" xfId="0" applyFont="1"/>
    <xf borderId="0" fillId="0" fontId="18" numFmtId="0" xfId="0" applyAlignment="1" applyFont="1">
      <alignment horizontal="center" readingOrder="0" vertical="center"/>
    </xf>
    <xf borderId="0" fillId="0" fontId="18" numFmtId="164" xfId="0" applyAlignment="1" applyFont="1" applyNumberForma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12" fillId="0" fontId="7" numFmtId="164" xfId="0" applyAlignment="1" applyBorder="1" applyFont="1" applyNumberFormat="1">
      <alignment vertical="center"/>
    </xf>
    <xf borderId="0" fillId="2" fontId="9" numFmtId="0" xfId="0" applyAlignment="1" applyFont="1">
      <alignment horizontal="center" readingOrder="0" vertical="center"/>
    </xf>
    <xf borderId="0" fillId="2" fontId="7" numFmtId="0" xfId="0" applyAlignment="1" applyFont="1">
      <alignment vertical="center"/>
    </xf>
    <xf borderId="22" fillId="0" fontId="27" numFmtId="169" xfId="0" applyAlignment="1" applyBorder="1" applyFont="1" applyNumberFormat="1">
      <alignment horizontal="left" readingOrder="0" vertical="center"/>
    </xf>
    <xf borderId="22" fillId="0" fontId="6" numFmtId="164" xfId="0" applyAlignment="1" applyBorder="1" applyFont="1" applyNumberFormat="1">
      <alignment horizontal="center" readingOrder="0" vertical="center"/>
    </xf>
    <xf borderId="22" fillId="0" fontId="38" numFmtId="0" xfId="0" applyAlignment="1" applyBorder="1" applyFont="1">
      <alignment horizontal="left" readingOrder="0" vertical="center"/>
    </xf>
    <xf borderId="22" fillId="0" fontId="27" numFmtId="0" xfId="0" applyAlignment="1" applyBorder="1" applyFont="1">
      <alignment horizontal="left" readingOrder="0" vertical="center"/>
    </xf>
    <xf borderId="22" fillId="0" fontId="5" numFmtId="0" xfId="0" applyAlignment="1" applyBorder="1" applyFont="1">
      <alignment horizontal="left" readingOrder="0" vertical="center"/>
    </xf>
    <xf borderId="0" fillId="2" fontId="7" numFmtId="0" xfId="0" applyAlignment="1" applyFont="1">
      <alignment readingOrder="0" vertical="center"/>
    </xf>
    <xf borderId="0" fillId="2" fontId="7" numFmtId="0" xfId="0" applyAlignment="1" applyFont="1">
      <alignment horizontal="center" readingOrder="0" vertical="bottom"/>
    </xf>
    <xf borderId="0" fillId="2" fontId="39" numFmtId="0" xfId="0" applyAlignment="1" applyFont="1">
      <alignment vertical="bottom"/>
    </xf>
    <xf borderId="0" fillId="2" fontId="7" numFmtId="164" xfId="0" applyAlignment="1" applyFont="1" applyNumberFormat="1">
      <alignment vertical="bottom"/>
    </xf>
    <xf borderId="0" fillId="2" fontId="7" numFmtId="164" xfId="0" applyAlignment="1" applyFont="1" applyNumberFormat="1">
      <alignment readingOrder="0" vertical="center"/>
    </xf>
    <xf borderId="22" fillId="0" fontId="27" numFmtId="170" xfId="0" applyAlignment="1" applyBorder="1" applyFont="1" applyNumberFormat="1">
      <alignment horizontal="left" readingOrder="0" vertical="center"/>
    </xf>
    <xf borderId="23" fillId="0" fontId="6" numFmtId="164" xfId="0" applyAlignment="1" applyBorder="1" applyFont="1" applyNumberFormat="1">
      <alignment horizontal="center" readingOrder="0" vertical="center"/>
    </xf>
    <xf borderId="23" fillId="0" fontId="38" numFmtId="0" xfId="0" applyAlignment="1" applyBorder="1" applyFont="1">
      <alignment horizontal="left" readingOrder="0" vertical="center"/>
    </xf>
    <xf borderId="23" fillId="0" fontId="27" numFmtId="0" xfId="0" applyAlignment="1" applyBorder="1" applyFont="1">
      <alignment horizontal="left" readingOrder="0" vertical="center"/>
    </xf>
    <xf borderId="23" fillId="0" fontId="5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readingOrder="0"/>
    </xf>
    <xf borderId="0" fillId="2" fontId="40" numFmtId="0" xfId="0" applyFont="1"/>
    <xf borderId="0" fillId="0" fontId="41" numFmtId="0" xfId="0" applyAlignment="1" applyFont="1">
      <alignment horizontal="center" readingOrder="0" shrinkToFit="0" vertical="bottom" wrapText="0"/>
    </xf>
    <xf borderId="0" fillId="0" fontId="41" numFmtId="171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vertical="center"/>
    </xf>
    <xf borderId="23" fillId="0" fontId="5" numFmtId="0" xfId="0" applyAlignment="1" applyBorder="1" applyFont="1">
      <alignment horizontal="left" vertical="center"/>
    </xf>
    <xf borderId="23" fillId="0" fontId="27" numFmtId="0" xfId="0" applyAlignment="1" applyBorder="1" applyFont="1">
      <alignment horizontal="left" vertical="center"/>
    </xf>
    <xf borderId="0" fillId="0" fontId="41" numFmtId="0" xfId="0" applyAlignment="1" applyFont="1">
      <alignment horizontal="center" shrinkToFit="0" vertical="bottom" wrapText="0"/>
    </xf>
    <xf borderId="0" fillId="0" fontId="41" numFmtId="171" xfId="0" applyAlignment="1" applyFont="1" applyNumberFormat="1">
      <alignment horizontal="center" shrinkToFit="0" vertical="bottom" wrapText="0"/>
    </xf>
    <xf borderId="0" fillId="0" fontId="41" numFmtId="10" xfId="0" applyAlignment="1" applyFont="1" applyNumberFormat="1">
      <alignment horizontal="center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0" fontId="42" numFmtId="171" xfId="0" applyAlignment="1" applyFont="1" applyNumberFormat="1">
      <alignment readingOrder="0" shrinkToFit="0" vertical="bottom" wrapText="0"/>
    </xf>
    <xf borderId="0" fillId="0" fontId="42" numFmtId="20" xfId="0" applyAlignment="1" applyFont="1" applyNumberFormat="1">
      <alignment horizontal="center" readingOrder="0"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0" fontId="43" numFmtId="0" xfId="0" applyAlignment="1" applyFont="1">
      <alignment readingOrder="0" vertical="center"/>
    </xf>
    <xf borderId="0" fillId="0" fontId="42" numFmtId="0" xfId="0" applyAlignment="1" applyFont="1">
      <alignment horizontal="center" readingOrder="0" shrinkToFit="0" vertical="bottom" wrapText="0"/>
    </xf>
    <xf borderId="0" fillId="0" fontId="38" numFmtId="0" xfId="0" applyAlignment="1" applyFont="1">
      <alignment horizontal="left" readingOrder="0" vertical="center"/>
    </xf>
    <xf borderId="23" fillId="0" fontId="27" numFmtId="172" xfId="0" applyAlignment="1" applyBorder="1" applyFont="1" applyNumberFormat="1">
      <alignment horizontal="left" vertical="center"/>
    </xf>
    <xf borderId="23" fillId="0" fontId="38" numFmtId="0" xfId="0" applyAlignment="1" applyBorder="1" applyFont="1">
      <alignment horizontal="left" vertical="center"/>
    </xf>
    <xf borderId="24" fillId="0" fontId="6" numFmtId="164" xfId="0" applyAlignment="1" applyBorder="1" applyFont="1" applyNumberFormat="1">
      <alignment horizontal="center" readingOrder="0" vertical="center"/>
    </xf>
    <xf borderId="24" fillId="0" fontId="38" numFmtId="0" xfId="0" applyAlignment="1" applyBorder="1" applyFont="1">
      <alignment horizontal="left" vertical="center"/>
    </xf>
    <xf borderId="24" fillId="0" fontId="27" numFmtId="0" xfId="0" applyAlignment="1" applyBorder="1" applyFont="1">
      <alignment horizontal="left" vertical="center"/>
    </xf>
    <xf borderId="24" fillId="0" fontId="27" numFmtId="14" xfId="0" applyAlignment="1" applyBorder="1" applyFont="1" applyNumberFormat="1">
      <alignment horizontal="left" vertical="center"/>
    </xf>
    <xf borderId="24" fillId="0" fontId="5" numFmtId="0" xfId="0" applyAlignment="1" applyBorder="1" applyFont="1">
      <alignment horizontal="left" vertical="center"/>
    </xf>
    <xf borderId="22" fillId="0" fontId="25" numFmtId="170" xfId="0" applyAlignment="1" applyBorder="1" applyFont="1" applyNumberFormat="1">
      <alignment readingOrder="0"/>
    </xf>
    <xf borderId="0" fillId="0" fontId="27" numFmtId="169" xfId="0" applyAlignment="1" applyFont="1" applyNumberFormat="1">
      <alignment horizontal="left" readingOrder="0" vertical="center"/>
    </xf>
    <xf borderId="23" fillId="0" fontId="25" numFmtId="0" xfId="0" applyAlignment="1" applyBorder="1" applyFont="1">
      <alignment readingOrder="0"/>
    </xf>
    <xf borderId="0" fillId="0" fontId="25" numFmtId="170" xfId="0" applyAlignment="1" applyFont="1" applyNumberFormat="1">
      <alignment readingOrder="0"/>
    </xf>
    <xf borderId="23" fillId="3" fontId="6" numFmtId="164" xfId="0" applyAlignment="1" applyBorder="1" applyFont="1" applyNumberFormat="1">
      <alignment horizontal="center" readingOrder="0" vertical="center"/>
    </xf>
    <xf borderId="25" fillId="0" fontId="41" numFmtId="0" xfId="0" applyAlignment="1" applyBorder="1" applyFont="1">
      <alignment horizontal="center" readingOrder="0" shrinkToFit="0" vertical="bottom" wrapText="0"/>
    </xf>
    <xf borderId="25" fillId="0" fontId="41" numFmtId="171" xfId="0" applyAlignment="1" applyBorder="1" applyFont="1" applyNumberFormat="1">
      <alignment horizontal="center" readingOrder="0" shrinkToFit="0" vertical="bottom" wrapText="0"/>
    </xf>
    <xf borderId="25" fillId="0" fontId="41" numFmtId="0" xfId="0" applyAlignment="1" applyBorder="1" applyFont="1">
      <alignment readingOrder="0" shrinkToFit="0" vertical="bottom" wrapText="0"/>
    </xf>
    <xf borderId="25" fillId="0" fontId="42" numFmtId="171" xfId="0" applyAlignment="1" applyBorder="1" applyFont="1" applyNumberFormat="1">
      <alignment readingOrder="0" shrinkToFit="0" vertical="bottom" wrapText="0"/>
    </xf>
    <xf borderId="25" fillId="0" fontId="42" numFmtId="20" xfId="0" applyAlignment="1" applyBorder="1" applyFont="1" applyNumberFormat="1">
      <alignment horizontal="center" readingOrder="0" shrinkToFit="0" vertical="bottom" wrapText="0"/>
    </xf>
    <xf borderId="25" fillId="0" fontId="42" numFmtId="0" xfId="0" applyAlignment="1" applyBorder="1" applyFont="1">
      <alignment readingOrder="0" shrinkToFit="0" vertical="bottom" wrapText="0"/>
    </xf>
    <xf borderId="25" fillId="0" fontId="42" numFmtId="0" xfId="0" applyAlignment="1" applyBorder="1" applyFont="1">
      <alignment horizontal="center" readingOrder="0" shrinkToFit="0" vertical="bottom" wrapText="0"/>
    </xf>
    <xf borderId="0" fillId="2" fontId="44" numFmtId="171" xfId="0" applyAlignment="1" applyFont="1" applyNumberFormat="1">
      <alignment horizontal="right" readingOrder="0" vertical="bottom"/>
    </xf>
    <xf borderId="0" fillId="2" fontId="44" numFmtId="10" xfId="0" applyAlignment="1" applyFont="1" applyNumberFormat="1">
      <alignment horizontal="right" vertical="bottom"/>
    </xf>
    <xf borderId="0" fillId="2" fontId="44" numFmtId="171" xfId="0" applyAlignment="1" applyFont="1" applyNumberFormat="1">
      <alignment horizontal="right" vertical="bottom"/>
    </xf>
    <xf borderId="0" fillId="2" fontId="31" numFmtId="171" xfId="0" applyAlignment="1" applyFont="1" applyNumberFormat="1">
      <alignment vertical="bottom"/>
    </xf>
    <xf borderId="5" fillId="0" fontId="9" numFmtId="0" xfId="0" applyAlignment="1" applyBorder="1" applyFont="1">
      <alignment readingOrder="0" vertical="center"/>
    </xf>
    <xf borderId="1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bottom"/>
    </xf>
    <xf borderId="5" fillId="5" fontId="39" numFmtId="0" xfId="0" applyAlignment="1" applyBorder="1" applyFill="1" applyFont="1">
      <alignment vertical="bottom"/>
    </xf>
    <xf borderId="6" fillId="0" fontId="7" numFmtId="164" xfId="0" applyAlignment="1" applyBorder="1" applyFont="1" applyNumberFormat="1">
      <alignment vertical="bottom"/>
    </xf>
    <xf borderId="11" fillId="0" fontId="1" numFmtId="0" xfId="0" applyAlignment="1" applyBorder="1" applyFont="1">
      <alignment horizontal="center" readingOrder="0"/>
    </xf>
    <xf borderId="11" fillId="0" fontId="1" numFmtId="164" xfId="0" applyAlignment="1" applyBorder="1" applyFont="1" applyNumberFormat="1">
      <alignment readingOrder="0"/>
    </xf>
    <xf borderId="12" fillId="5" fontId="40" numFmtId="0" xfId="0" applyBorder="1" applyFont="1"/>
    <xf borderId="5" fillId="0" fontId="44" numFmtId="171" xfId="0" applyAlignment="1" applyBorder="1" applyFont="1" applyNumberFormat="1">
      <alignment horizontal="right" readingOrder="0" vertical="bottom"/>
    </xf>
    <xf borderId="6" fillId="0" fontId="44" numFmtId="10" xfId="0" applyAlignment="1" applyBorder="1" applyFont="1" applyNumberFormat="1">
      <alignment horizontal="right" vertical="bottom"/>
    </xf>
    <xf borderId="18" fillId="0" fontId="44" numFmtId="171" xfId="0" applyAlignment="1" applyBorder="1" applyFont="1" applyNumberFormat="1">
      <alignment horizontal="right" readingOrder="0" vertical="bottom"/>
    </xf>
    <xf borderId="16" fillId="0" fontId="44" numFmtId="10" xfId="0" applyAlignment="1" applyBorder="1" applyFont="1" applyNumberFormat="1">
      <alignment horizontal="right" vertical="bottom"/>
    </xf>
    <xf borderId="11" fillId="0" fontId="44" numFmtId="171" xfId="0" applyAlignment="1" applyBorder="1" applyFont="1" applyNumberFormat="1">
      <alignment horizontal="right" vertical="bottom"/>
    </xf>
    <xf borderId="12" fillId="0" fontId="31" numFmtId="171" xfId="0" applyAlignment="1" applyBorder="1" applyFont="1" applyNumberFormat="1">
      <alignment vertical="bottom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readingOrder="0" vertical="center"/>
    </xf>
    <xf borderId="18" fillId="0" fontId="7" numFmtId="0" xfId="0" applyAlignment="1" applyBorder="1" applyFont="1">
      <alignment vertical="center"/>
    </xf>
    <xf borderId="16" fillId="0" fontId="7" numFmtId="164" xfId="0" applyAlignment="1" applyBorder="1" applyFont="1" applyNumberFormat="1">
      <alignment vertical="center"/>
    </xf>
    <xf borderId="18" fillId="0" fontId="7" numFmtId="0" xfId="0" applyAlignment="1" applyBorder="1" applyFont="1">
      <alignment readingOrder="0" vertical="center"/>
    </xf>
    <xf borderId="16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5" fillId="0" fontId="44" numFmtId="171" xfId="0" applyAlignment="1" applyBorder="1" applyFont="1" applyNumberFormat="1">
      <alignment horizontal="right" vertical="bottom"/>
    </xf>
    <xf borderId="6" fillId="0" fontId="7" numFmtId="0" xfId="0" applyAlignment="1" applyBorder="1" applyFont="1">
      <alignment vertical="center"/>
    </xf>
    <xf borderId="0" fillId="0" fontId="7" numFmtId="164" xfId="0" applyAlignment="1" applyFont="1" applyNumberFormat="1">
      <alignment vertical="center"/>
    </xf>
    <xf borderId="0" fillId="0" fontId="44" numFmtId="171" xfId="0" applyAlignment="1" applyFont="1" applyNumberFormat="1">
      <alignment horizontal="right" vertical="bottom"/>
    </xf>
    <xf borderId="0" fillId="0" fontId="44" numFmtId="10" xfId="0" applyAlignment="1" applyFont="1" applyNumberFormat="1">
      <alignment horizontal="right" vertical="bottom"/>
    </xf>
    <xf borderId="0" fillId="0" fontId="31" numFmtId="171" xfId="0" applyAlignment="1" applyFont="1" applyNumberFormat="1">
      <alignment vertical="bottom"/>
    </xf>
    <xf borderId="23" fillId="0" fontId="6" numFmtId="164" xfId="0" applyAlignment="1" applyBorder="1" applyFont="1" applyNumberFormat="1">
      <alignment horizontal="center" vertical="center"/>
    </xf>
    <xf borderId="24" fillId="0" fontId="6" numFmtId="164" xfId="0" applyAlignment="1" applyBorder="1" applyFont="1" applyNumberFormat="1">
      <alignment horizontal="center" vertical="center"/>
    </xf>
    <xf borderId="0" fillId="0" fontId="25" numFmtId="9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2" width="18.88"/>
    <col customWidth="1" min="3" max="6" width="11.63"/>
    <col customWidth="1" min="7" max="7" width="8.0"/>
    <col customWidth="1" min="8" max="12" width="11.63"/>
    <col customWidth="1" min="13" max="13" width="6.25"/>
    <col customWidth="1" min="14" max="14" width="12.25"/>
    <col customWidth="1" min="15" max="15" width="10.88"/>
    <col customWidth="1" min="16" max="16" width="11.75"/>
    <col customWidth="1" min="17" max="22" width="14.13"/>
  </cols>
  <sheetData>
    <row r="1" ht="24.0" customHeight="1">
      <c r="A1" s="1"/>
      <c r="B1" s="2">
        <f>IFERROR(__xludf.DUMMYFUNCTION("GOOGLEFINANCE((""CURRENCY:CLF/CLP""))"),40825.75)</f>
        <v>40825.75</v>
      </c>
      <c r="C1" s="3"/>
      <c r="D1" s="3"/>
      <c r="E1" s="3"/>
      <c r="F1" s="4" t="s">
        <v>0</v>
      </c>
      <c r="G1" s="5">
        <f>IFERROR(__xludf.DUMMYFUNCTION("GOOGLEFINANCE((""CURRENCY:USDCLP""))"),925.24)</f>
        <v>925.24</v>
      </c>
      <c r="H1" s="6"/>
      <c r="I1" s="6"/>
      <c r="J1" s="7"/>
      <c r="K1" s="6"/>
      <c r="L1" s="6"/>
      <c r="M1" s="1"/>
      <c r="P1" s="1"/>
      <c r="Q1" s="1"/>
      <c r="R1" s="1"/>
      <c r="V1" s="1"/>
    </row>
    <row r="2" ht="24.0" customHeight="1">
      <c r="A2" s="8"/>
      <c r="B2" s="9" t="s">
        <v>1</v>
      </c>
      <c r="G2" s="10"/>
      <c r="H2" s="9" t="s">
        <v>2</v>
      </c>
      <c r="I2" s="9"/>
      <c r="J2" s="11"/>
      <c r="K2" s="10"/>
      <c r="L2" s="10"/>
      <c r="M2" s="8"/>
      <c r="P2" s="12"/>
      <c r="Q2" s="8"/>
      <c r="R2" s="8"/>
      <c r="V2" s="8"/>
    </row>
    <row r="3" ht="19.5" customHeight="1">
      <c r="A3" s="13"/>
      <c r="B3" s="14" t="s">
        <v>3</v>
      </c>
      <c r="C3" s="15">
        <f>D9</f>
        <v>1955021.939</v>
      </c>
      <c r="D3" s="16" t="str">
        <f>IFERROR(__xludf.DUMMYFUNCTION("SPARKLINE(C3,{""charttype"",""bar"";""max"",max(C3:C4);""color1"",""#AEB7C0""})"),"")</f>
        <v/>
      </c>
      <c r="G3" s="17"/>
      <c r="H3" s="14" t="s">
        <v>4</v>
      </c>
      <c r="I3" s="15">
        <f>J9</f>
        <v>1955021.939</v>
      </c>
      <c r="J3" s="16" t="str">
        <f>IFERROR(__xludf.DUMMYFUNCTION("SPARKLINE(I3,{""charttype"",""bar"";""max"",max(I3:I4);""color1"",""#AEB7C0""})"),"")</f>
        <v/>
      </c>
      <c r="M3" s="13"/>
      <c r="N3" s="18"/>
      <c r="O3" s="19"/>
      <c r="P3" s="13"/>
      <c r="Q3" s="13"/>
      <c r="R3" s="13"/>
      <c r="V3" s="13"/>
    </row>
    <row r="4" ht="19.5" customHeight="1">
      <c r="A4" s="20"/>
      <c r="B4" s="21" t="s">
        <v>5</v>
      </c>
      <c r="C4" s="22">
        <f>E9</f>
        <v>1042755.573</v>
      </c>
      <c r="D4" s="23" t="str">
        <f>IFERROR(__xludf.DUMMYFUNCTION("SPARKLINE(C4,{""charttype"",""bar"";""max"",max(C3:C4);""color1"",""#334960""})"),"")</f>
        <v/>
      </c>
      <c r="G4" s="3"/>
      <c r="H4" s="24" t="s">
        <v>6</v>
      </c>
      <c r="I4" s="25">
        <f>IFERROR(__xludf.DUMMYFUNCTION("IMPORTRANGE(""https://docs.google.com/spreadsheets/d/1eg8N2weYKMcWwj9jcJqBX-y0loZRILY9c1SDJETZtoI/edit?pli=1&amp;gid=124507033#gid=124507033&amp;range=O40"",""O40"")"),176719.02083333395)</f>
        <v>176719.0208</v>
      </c>
      <c r="J4" s="26"/>
      <c r="M4" s="20"/>
      <c r="P4" s="20"/>
      <c r="Q4" s="20"/>
      <c r="R4" s="20"/>
      <c r="V4" s="20"/>
    </row>
    <row r="5" ht="19.5" customHeight="1">
      <c r="A5" s="27"/>
      <c r="B5" s="21" t="s">
        <v>7</v>
      </c>
      <c r="C5" s="22">
        <f>K9</f>
        <v>0</v>
      </c>
      <c r="D5" s="23" t="str">
        <f>IFERROR(__xludf.DUMMYFUNCTION("SPARKLINE(C5,{""charttype"",""bar"";""max"",max(I3,C5);""color1"",""#334960""})"),"")</f>
        <v/>
      </c>
      <c r="G5" s="28"/>
      <c r="H5" s="29" t="s">
        <v>8</v>
      </c>
      <c r="I5" s="30">
        <f>IFERROR(__xludf.DUMMYFUNCTION("IMPORTRANGE(""https://docs.google.com/spreadsheets/d/1eg8N2weYKMcWwj9jcJqBX-y0loZRILY9c1SDJETZtoI/edit?pli=1&amp;gid=124507033#gid=124507033&amp;range=M42"",""M42"")"),47714.13562500017)</f>
        <v>47714.13563</v>
      </c>
      <c r="J5" s="31"/>
      <c r="K5" s="31"/>
      <c r="L5" s="31"/>
      <c r="M5" s="20"/>
      <c r="N5" s="20"/>
      <c r="O5" s="20"/>
      <c r="P5" s="20"/>
      <c r="Q5" s="20"/>
      <c r="R5" s="20"/>
      <c r="V5" s="20"/>
    </row>
    <row r="6" ht="30.0" customHeight="1">
      <c r="A6" s="27"/>
      <c r="B6" s="32"/>
      <c r="C6" s="33"/>
      <c r="D6" s="31"/>
      <c r="G6" s="28"/>
      <c r="H6" s="34"/>
      <c r="I6" s="33"/>
      <c r="J6" s="31"/>
      <c r="M6" s="20"/>
      <c r="N6" s="20"/>
      <c r="O6" s="20"/>
      <c r="P6" s="20"/>
      <c r="Q6" s="20"/>
      <c r="R6" s="20"/>
      <c r="V6" s="20"/>
    </row>
    <row r="7" ht="29.25" customHeight="1">
      <c r="A7" s="35"/>
      <c r="B7" s="36" t="s">
        <v>1</v>
      </c>
      <c r="D7" s="37"/>
      <c r="E7" s="37"/>
      <c r="F7" s="37"/>
      <c r="G7" s="38"/>
      <c r="H7" s="39" t="s">
        <v>9</v>
      </c>
      <c r="I7" s="40"/>
      <c r="J7" s="37"/>
      <c r="K7" s="37"/>
      <c r="L7" s="37"/>
      <c r="M7" s="35"/>
      <c r="O7" s="41"/>
      <c r="P7" s="41"/>
      <c r="Q7" s="41"/>
      <c r="R7" s="41"/>
      <c r="V7" s="41"/>
    </row>
    <row r="8" ht="19.5" customHeight="1">
      <c r="A8" s="42"/>
      <c r="B8" s="43"/>
      <c r="C8" s="44"/>
      <c r="D8" s="45" t="s">
        <v>4</v>
      </c>
      <c r="E8" s="45" t="s">
        <v>7</v>
      </c>
      <c r="F8" s="45" t="s">
        <v>10</v>
      </c>
      <c r="G8" s="46"/>
      <c r="H8" s="47"/>
      <c r="I8" s="48"/>
      <c r="J8" s="45" t="s">
        <v>4</v>
      </c>
      <c r="K8" s="45" t="s">
        <v>11</v>
      </c>
      <c r="L8" s="45" t="s">
        <v>10</v>
      </c>
      <c r="M8" s="42"/>
      <c r="N8" s="49"/>
      <c r="O8" s="50" t="s">
        <v>12</v>
      </c>
      <c r="P8" s="51"/>
      <c r="Q8" s="18"/>
      <c r="R8" s="18"/>
      <c r="S8" s="18"/>
      <c r="V8" s="52"/>
    </row>
    <row r="9" ht="17.25" customHeight="1">
      <c r="A9" s="53" t="s">
        <v>7</v>
      </c>
      <c r="B9" s="54" t="s">
        <v>13</v>
      </c>
      <c r="C9" s="55"/>
      <c r="D9" s="56">
        <f t="shared" ref="D9:F9" si="1">sum(D10:D26)</f>
        <v>1955021.939</v>
      </c>
      <c r="E9" s="56">
        <f t="shared" si="1"/>
        <v>1042755.573</v>
      </c>
      <c r="F9" s="56">
        <f t="shared" si="1"/>
        <v>912266.3668</v>
      </c>
      <c r="G9" s="57"/>
      <c r="H9" s="58" t="s">
        <v>13</v>
      </c>
      <c r="I9" s="59"/>
      <c r="J9" s="56">
        <f t="shared" ref="J9:L9" si="2">sum(J10:J26)</f>
        <v>1955021.939</v>
      </c>
      <c r="K9" s="56">
        <f t="shared" si="2"/>
        <v>0</v>
      </c>
      <c r="L9" s="56">
        <f t="shared" si="2"/>
        <v>-1955021.939</v>
      </c>
      <c r="M9" s="60"/>
      <c r="N9" s="61" t="s">
        <v>14</v>
      </c>
      <c r="O9" s="62">
        <f>Transacciones!N3</f>
        <v>176000</v>
      </c>
      <c r="P9" s="63"/>
      <c r="Q9" s="20"/>
      <c r="R9" s="18"/>
      <c r="S9" s="20"/>
      <c r="V9" s="60"/>
    </row>
    <row r="10" ht="18.0" customHeight="1">
      <c r="A10" s="64"/>
      <c r="B10" s="65" t="s">
        <v>15</v>
      </c>
      <c r="C10" s="66"/>
      <c r="D10" s="67">
        <f>Analisis!B2</f>
        <v>7400</v>
      </c>
      <c r="E10" s="68">
        <f>if(isblank($B10), "", sumif(Transacciones!$E:$E,$B10,Transacciones!$C:$C))</f>
        <v>7094</v>
      </c>
      <c r="F10" s="69">
        <f t="shared" ref="F10:F23" si="3">if(isblank($B10), "", D10-E10)</f>
        <v>306</v>
      </c>
      <c r="G10" s="70"/>
      <c r="H10" s="65" t="s">
        <v>16</v>
      </c>
      <c r="I10" s="71"/>
      <c r="J10" s="67">
        <f>C3*1</f>
        <v>1955021.939</v>
      </c>
      <c r="K10" s="68" t="str">
        <f>O10</f>
        <v/>
      </c>
      <c r="L10" s="69">
        <f>if(isblank($H10:$H11), "", K10:K11-J10:J11)</f>
        <v>-1955021.939</v>
      </c>
      <c r="M10" s="72"/>
      <c r="N10" s="73" t="s">
        <v>17</v>
      </c>
      <c r="O10" s="74"/>
      <c r="P10" s="75"/>
      <c r="Q10" s="20"/>
      <c r="R10" s="18"/>
      <c r="S10" s="20"/>
      <c r="V10" s="75"/>
    </row>
    <row r="11" ht="18.0" customHeight="1">
      <c r="A11" s="64"/>
      <c r="B11" s="65" t="s">
        <v>18</v>
      </c>
      <c r="C11" s="66"/>
      <c r="D11" s="67">
        <v>14253.0</v>
      </c>
      <c r="E11" s="68">
        <f>if(isblank($B11), "", sumif(Transacciones!$E:$E,$B11,Transacciones!$C:$C))</f>
        <v>14253</v>
      </c>
      <c r="F11" s="69">
        <f t="shared" si="3"/>
        <v>0</v>
      </c>
      <c r="G11" s="70"/>
      <c r="H11" s="65"/>
      <c r="I11" s="71"/>
      <c r="J11" s="67"/>
      <c r="K11" s="68"/>
      <c r="L11" s="69"/>
      <c r="M11" s="72"/>
      <c r="N11" s="1"/>
      <c r="O11" s="1"/>
      <c r="P11" s="75"/>
      <c r="Q11" s="20"/>
      <c r="R11" s="18"/>
      <c r="S11" s="20"/>
      <c r="V11" s="75"/>
    </row>
    <row r="12" ht="18.0" customHeight="1">
      <c r="A12" s="18"/>
      <c r="B12" s="65" t="s">
        <v>19</v>
      </c>
      <c r="C12" s="66"/>
      <c r="D12" s="67">
        <v>322000.0</v>
      </c>
      <c r="E12" s="68">
        <f>if(isblank($B12), "", sumif(Transacciones!$E:$E,$B12,Transacciones!$C:$C))</f>
        <v>176000</v>
      </c>
      <c r="F12" s="69">
        <f t="shared" si="3"/>
        <v>146000</v>
      </c>
      <c r="G12" s="76"/>
      <c r="H12" s="65"/>
      <c r="I12" s="71"/>
      <c r="J12" s="67"/>
      <c r="K12" s="68"/>
      <c r="L12" s="69"/>
      <c r="M12" s="20"/>
      <c r="N12" s="64"/>
      <c r="O12" s="75"/>
      <c r="P12" s="75"/>
      <c r="Q12" s="18"/>
      <c r="R12" s="18"/>
      <c r="S12" s="18"/>
      <c r="T12" s="75"/>
      <c r="U12" s="75"/>
      <c r="V12" s="75"/>
    </row>
    <row r="13" ht="18.0" customHeight="1">
      <c r="A13" s="18"/>
      <c r="B13" s="65" t="s">
        <v>20</v>
      </c>
      <c r="C13" s="66"/>
      <c r="D13" s="67">
        <f>E13</f>
        <v>704652.445</v>
      </c>
      <c r="E13" s="68">
        <f>if(isblank($B13), "", sumif(Transacciones!$E:$E,$B13,Transacciones!$C:$C))</f>
        <v>704652.445</v>
      </c>
      <c r="F13" s="69">
        <f t="shared" si="3"/>
        <v>0</v>
      </c>
      <c r="G13" s="77"/>
      <c r="H13" s="65"/>
      <c r="I13" s="71"/>
      <c r="J13" s="67"/>
      <c r="K13" s="68"/>
      <c r="L13" s="69"/>
      <c r="M13" s="20"/>
      <c r="N13" s="64"/>
      <c r="O13" s="20"/>
      <c r="P13" s="20"/>
      <c r="Q13" s="20"/>
      <c r="R13" s="18"/>
      <c r="S13" s="20"/>
      <c r="T13" s="20"/>
      <c r="U13" s="20"/>
      <c r="V13" s="20"/>
    </row>
    <row r="14" ht="18.0" customHeight="1">
      <c r="A14" s="18"/>
      <c r="B14" s="65" t="s">
        <v>21</v>
      </c>
      <c r="C14" s="66"/>
      <c r="D14" s="67">
        <f>Analisis!B6</f>
        <v>270000</v>
      </c>
      <c r="E14" s="68">
        <f>if(isblank($B14), "", sumif(Transacciones!$E:$E,$B14,Transacciones!$C:$C))</f>
        <v>0</v>
      </c>
      <c r="F14" s="69">
        <f t="shared" si="3"/>
        <v>270000</v>
      </c>
      <c r="G14" s="77"/>
      <c r="H14" s="65"/>
      <c r="I14" s="66"/>
      <c r="J14" s="78"/>
      <c r="K14" s="68"/>
      <c r="L14" s="69"/>
      <c r="M14" s="20"/>
      <c r="N14" s="20"/>
      <c r="O14" s="18"/>
      <c r="P14" s="20"/>
      <c r="Q14" s="18"/>
      <c r="S14" s="20"/>
      <c r="T14" s="20"/>
      <c r="U14" s="20"/>
      <c r="V14" s="20"/>
    </row>
    <row r="15" ht="18.0" customHeight="1">
      <c r="A15" s="18"/>
      <c r="B15" s="65" t="s">
        <v>22</v>
      </c>
      <c r="C15" s="66"/>
      <c r="D15" s="67">
        <f>37000*3</f>
        <v>111000</v>
      </c>
      <c r="E15" s="68">
        <f>if(isblank($B15), "", sumif(Transacciones!$E:$E,$B15,Transacciones!$C:$C))</f>
        <v>74000</v>
      </c>
      <c r="F15" s="69">
        <f t="shared" si="3"/>
        <v>37000</v>
      </c>
      <c r="G15" s="77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18.0" customHeight="1">
      <c r="A16" s="18"/>
      <c r="B16" s="65" t="s">
        <v>23</v>
      </c>
      <c r="C16" s="71"/>
      <c r="D16" s="67">
        <f>Analisis!B8</f>
        <v>29850</v>
      </c>
      <c r="E16" s="68">
        <f>if(isblank($B16), "", sumif(Transacciones!$E:$E,$B16,Transacciones!$C:$C))</f>
        <v>18990</v>
      </c>
      <c r="F16" s="69">
        <f t="shared" si="3"/>
        <v>10860</v>
      </c>
      <c r="G16" s="77"/>
      <c r="H16" s="79"/>
      <c r="I16" s="66"/>
      <c r="J16" s="80"/>
      <c r="K16" s="81" t="str">
        <f>if(isblank($H16), "", sumif(Transacciones!$K:$K,$H16,Transacciones!$I:$I))</f>
        <v/>
      </c>
      <c r="L16" s="82" t="str">
        <f t="shared" ref="L16:L23" si="4">if(isblank($H16), "", K16-J16)</f>
        <v/>
      </c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18.0" customHeight="1">
      <c r="A17" s="18"/>
      <c r="B17" s="65" t="s">
        <v>24</v>
      </c>
      <c r="C17" s="71"/>
      <c r="D17" s="67">
        <f>Analisis!B9</f>
        <v>82107</v>
      </c>
      <c r="E17" s="68">
        <f>if(isblank($B17), "", sumif(Transacciones!$E:$E,$B17,Transacciones!$C:$C))</f>
        <v>0</v>
      </c>
      <c r="F17" s="69">
        <f t="shared" si="3"/>
        <v>82107</v>
      </c>
      <c r="G17" s="77"/>
      <c r="H17" s="79"/>
      <c r="I17" s="66"/>
      <c r="J17" s="80"/>
      <c r="K17" s="81"/>
      <c r="L17" s="82" t="str">
        <f t="shared" si="4"/>
        <v/>
      </c>
      <c r="M17" s="20"/>
      <c r="N17" s="20"/>
      <c r="O17" s="20"/>
      <c r="P17" s="20"/>
      <c r="Q17" s="60"/>
      <c r="R17" s="53"/>
      <c r="S17" s="60"/>
      <c r="T17" s="20"/>
      <c r="U17" s="20"/>
      <c r="V17" s="20"/>
    </row>
    <row r="18" ht="18.0" customHeight="1">
      <c r="A18" s="18"/>
      <c r="B18" s="65" t="s">
        <v>25</v>
      </c>
      <c r="C18" s="71"/>
      <c r="D18" s="67">
        <f>Analisis!B10</f>
        <v>15860</v>
      </c>
      <c r="E18" s="68">
        <f>if(isblank($B18), "", sumif(Transacciones!$E:$E,$B18,Transacciones!$C:$C))</f>
        <v>0</v>
      </c>
      <c r="F18" s="69">
        <f t="shared" si="3"/>
        <v>15860</v>
      </c>
      <c r="G18" s="77"/>
      <c r="H18" s="79"/>
      <c r="I18" s="66"/>
      <c r="J18" s="80"/>
      <c r="K18" s="81" t="str">
        <f>if(isblank($H18), "", sumif(Transacciones!$K:$K,$H18,Transacciones!$I:$I))</f>
        <v/>
      </c>
      <c r="L18" s="82" t="str">
        <f t="shared" si="4"/>
        <v/>
      </c>
      <c r="M18" s="20"/>
      <c r="N18" s="20"/>
      <c r="O18" s="20"/>
      <c r="P18" s="20"/>
      <c r="Q18" s="75"/>
      <c r="R18" s="83"/>
      <c r="S18" s="75"/>
      <c r="T18" s="20"/>
      <c r="U18" s="20"/>
      <c r="V18" s="20"/>
    </row>
    <row r="19" ht="18.0" customHeight="1">
      <c r="A19" s="18"/>
      <c r="B19" s="65" t="s">
        <v>26</v>
      </c>
      <c r="C19" s="71"/>
      <c r="D19" s="67">
        <f>Analisis!B11</f>
        <v>8600</v>
      </c>
      <c r="E19" s="68">
        <f>if(isblank($B19), "", sumif(Transacciones!$E:$E,$B19,Transacciones!$C:$C))</f>
        <v>0</v>
      </c>
      <c r="F19" s="69">
        <f t="shared" si="3"/>
        <v>8600</v>
      </c>
      <c r="G19" s="77"/>
      <c r="H19" s="79"/>
      <c r="I19" s="66"/>
      <c r="J19" s="80"/>
      <c r="K19" s="81"/>
      <c r="L19" s="82" t="str">
        <f t="shared" si="4"/>
        <v/>
      </c>
      <c r="M19" s="20"/>
      <c r="N19" s="20"/>
      <c r="O19" s="20"/>
      <c r="Q19" s="75"/>
      <c r="R19" s="83"/>
      <c r="S19" s="75"/>
      <c r="T19" s="20"/>
      <c r="U19" s="20"/>
      <c r="V19" s="20"/>
    </row>
    <row r="20" ht="18.0" customHeight="1">
      <c r="A20" s="18"/>
      <c r="B20" s="65" t="s">
        <v>27</v>
      </c>
      <c r="C20" s="66"/>
      <c r="D20" s="67">
        <f>Analisis!B12</f>
        <v>0</v>
      </c>
      <c r="E20" s="68">
        <f>if(isblank($B20), "", sumif(Transacciones!$E:$E,$B20,Transacciones!$C:$C))</f>
        <v>0</v>
      </c>
      <c r="F20" s="69">
        <f t="shared" si="3"/>
        <v>0</v>
      </c>
      <c r="G20" s="76"/>
      <c r="H20" s="79"/>
      <c r="I20" s="66"/>
      <c r="J20" s="80"/>
      <c r="K20" s="81" t="str">
        <f>if(isblank($H20), "", sumif(Transacciones!$K:$K,$H20,Transacciones!$I:$I))</f>
        <v/>
      </c>
      <c r="L20" s="82" t="str">
        <f t="shared" si="4"/>
        <v/>
      </c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8.0" customHeight="1">
      <c r="A21" s="18"/>
      <c r="B21" s="65" t="s">
        <v>28</v>
      </c>
      <c r="C21" s="66"/>
      <c r="D21" s="67">
        <f>48917/40509*B1</f>
        <v>49299.49425</v>
      </c>
      <c r="E21" s="68">
        <f>if(isblank($B21), "", sumif(Transacciones!$E:$E,$B21,Transacciones!$C:$C))</f>
        <v>47766.1275</v>
      </c>
      <c r="F21" s="69">
        <f t="shared" si="3"/>
        <v>1533.366754</v>
      </c>
      <c r="G21" s="77"/>
      <c r="H21" s="79"/>
      <c r="I21" s="66"/>
      <c r="J21" s="80"/>
      <c r="K21" s="81" t="str">
        <f>if(isblank($H21), "", sumif(Transacciones!$K:$K,$H21,Transacciones!$I:$I))</f>
        <v/>
      </c>
      <c r="L21" s="82" t="str">
        <f t="shared" si="4"/>
        <v/>
      </c>
      <c r="M21" s="20"/>
      <c r="O21" s="20"/>
      <c r="P21" s="20"/>
      <c r="Q21" s="20"/>
      <c r="R21" s="20"/>
      <c r="S21" s="20"/>
      <c r="T21" s="20"/>
      <c r="U21" s="20"/>
      <c r="V21" s="20"/>
    </row>
    <row r="22" ht="18.0" customHeight="1">
      <c r="A22" s="20"/>
      <c r="B22" s="65" t="s">
        <v>29</v>
      </c>
      <c r="C22" s="66"/>
      <c r="D22" s="84">
        <v>140000.0</v>
      </c>
      <c r="E22" s="68">
        <f>if(isblank($B22), "", sumif(Transacciones!$E:$E,$B22,Transacciones!$C:$C))</f>
        <v>0</v>
      </c>
      <c r="F22" s="69">
        <f t="shared" si="3"/>
        <v>140000</v>
      </c>
      <c r="G22" s="77"/>
      <c r="H22" s="79"/>
      <c r="I22" s="66"/>
      <c r="J22" s="80"/>
      <c r="K22" s="81" t="str">
        <f>if(isblank($H22), "", sumif(Transacciones!$K:$K,$H22,Transacciones!$I:$I))</f>
        <v/>
      </c>
      <c r="L22" s="82" t="str">
        <f t="shared" si="4"/>
        <v/>
      </c>
      <c r="M22" s="20"/>
      <c r="O22" s="20"/>
      <c r="P22" s="20"/>
      <c r="Q22" s="20"/>
      <c r="R22" s="20"/>
      <c r="S22" s="20"/>
      <c r="T22" s="20"/>
      <c r="U22" s="20"/>
      <c r="V22" s="20"/>
    </row>
    <row r="23" ht="18.0" customHeight="1">
      <c r="A23" s="20"/>
      <c r="B23" s="65" t="s">
        <v>30</v>
      </c>
      <c r="C23" s="66"/>
      <c r="D23" s="85">
        <v>200000.0</v>
      </c>
      <c r="E23" s="68">
        <f>if(isblank($B23), "", sumif(Transacciones!$E:$E,$B23,Transacciones!$C:$C))</f>
        <v>0</v>
      </c>
      <c r="F23" s="69">
        <f t="shared" si="3"/>
        <v>200000</v>
      </c>
      <c r="G23" s="76"/>
      <c r="H23" s="79"/>
      <c r="I23" s="66"/>
      <c r="J23" s="80"/>
      <c r="K23" s="81" t="str">
        <f>if(isblank($H23), "", sumif(Transacciones!$K:$K,$H23,Transacciones!$I:$I))</f>
        <v/>
      </c>
      <c r="L23" s="82" t="str">
        <f t="shared" si="4"/>
        <v/>
      </c>
      <c r="M23" s="20"/>
      <c r="O23" s="20"/>
      <c r="P23" s="20"/>
      <c r="Q23" s="20"/>
      <c r="R23" s="20"/>
      <c r="S23" s="20"/>
      <c r="T23" s="20"/>
      <c r="U23" s="20"/>
      <c r="V23" s="20"/>
    </row>
    <row r="24" ht="18.0" customHeight="1">
      <c r="A24" s="20"/>
      <c r="B24" s="86"/>
      <c r="C24" s="86"/>
      <c r="D24" s="85"/>
      <c r="E24" s="68"/>
      <c r="F24" s="87"/>
      <c r="G24" s="76"/>
      <c r="H24" s="88"/>
      <c r="I24" s="88"/>
      <c r="J24" s="89"/>
      <c r="K24" s="68"/>
      <c r="L24" s="87"/>
      <c r="M24" s="20"/>
      <c r="O24" s="20"/>
      <c r="P24" s="20"/>
      <c r="Q24" s="20"/>
      <c r="R24" s="20"/>
      <c r="S24" s="20"/>
      <c r="T24" s="20"/>
      <c r="U24" s="20"/>
      <c r="V24" s="20"/>
    </row>
    <row r="25" ht="18.0" customHeight="1">
      <c r="A25" s="20"/>
      <c r="B25" s="86"/>
      <c r="C25" s="86"/>
      <c r="D25" s="85" t="str">
        <f>D6:F6</f>
        <v/>
      </c>
      <c r="E25" s="68"/>
      <c r="F25" s="87"/>
      <c r="G25" s="76"/>
      <c r="H25" s="88"/>
      <c r="I25" s="88"/>
      <c r="J25" s="89"/>
      <c r="K25" s="68"/>
      <c r="L25" s="87"/>
      <c r="M25" s="20"/>
      <c r="O25" s="20"/>
      <c r="P25" s="20"/>
      <c r="Q25" s="20"/>
      <c r="R25" s="20"/>
      <c r="S25" s="20"/>
      <c r="T25" s="20"/>
      <c r="U25" s="20"/>
      <c r="V25" s="20"/>
    </row>
    <row r="26" ht="18.0" customHeight="1">
      <c r="A26" s="20"/>
      <c r="B26" s="90"/>
      <c r="C26" s="66"/>
      <c r="D26" s="67"/>
      <c r="E26" s="68" t="str">
        <f>if(isblank($B26), "", sumif(Transacciones!$E:$E,$B26,Transacciones!$C:$C))</f>
        <v/>
      </c>
      <c r="F26" s="87" t="str">
        <f>if(isblank($B26), "", D26-E26)</f>
        <v/>
      </c>
      <c r="G26" s="76"/>
      <c r="H26" s="91"/>
      <c r="I26" s="66"/>
      <c r="J26" s="89"/>
      <c r="K26" s="68" t="str">
        <f>if(isblank($H26), "", sumif(Transacciones!$K:$K,$H26,Transacciones!$I:$I))</f>
        <v/>
      </c>
      <c r="L26" s="87" t="str">
        <f>if(isblank($H26), "", K26-J26)</f>
        <v/>
      </c>
      <c r="M26" s="20"/>
      <c r="O26" s="20"/>
      <c r="P26" s="20"/>
      <c r="Q26" s="20"/>
      <c r="R26" s="20"/>
      <c r="S26" s="20"/>
      <c r="T26" s="20"/>
      <c r="U26" s="20"/>
      <c r="V26" s="20"/>
    </row>
  </sheetData>
  <mergeCells count="38">
    <mergeCell ref="B2:F2"/>
    <mergeCell ref="D3:F3"/>
    <mergeCell ref="J3:L3"/>
    <mergeCell ref="D4:F4"/>
    <mergeCell ref="J4:L4"/>
    <mergeCell ref="D5:F5"/>
    <mergeCell ref="J6:L6"/>
    <mergeCell ref="D6:F6"/>
    <mergeCell ref="B7:C7"/>
    <mergeCell ref="B10:C10"/>
    <mergeCell ref="H10:I10"/>
    <mergeCell ref="B11:C11"/>
    <mergeCell ref="H11:I11"/>
    <mergeCell ref="H12:I12"/>
    <mergeCell ref="B19:C19"/>
    <mergeCell ref="B20:C20"/>
    <mergeCell ref="B21:C21"/>
    <mergeCell ref="B22:C22"/>
    <mergeCell ref="B23:C23"/>
    <mergeCell ref="B26:C26"/>
    <mergeCell ref="B12:C12"/>
    <mergeCell ref="B13:C13"/>
    <mergeCell ref="B14:C14"/>
    <mergeCell ref="B15:C15"/>
    <mergeCell ref="B16:C16"/>
    <mergeCell ref="B17:C17"/>
    <mergeCell ref="B18:C18"/>
    <mergeCell ref="H21:I21"/>
    <mergeCell ref="H22:I22"/>
    <mergeCell ref="H23:I23"/>
    <mergeCell ref="H26:I26"/>
    <mergeCell ref="H13:I13"/>
    <mergeCell ref="H14:I14"/>
    <mergeCell ref="H16:I16"/>
    <mergeCell ref="H17:I17"/>
    <mergeCell ref="H18:I18"/>
    <mergeCell ref="H19:I19"/>
    <mergeCell ref="H20:I20"/>
  </mergeCells>
  <conditionalFormatting sqref="B10:C26 H10:H14 H16:H26">
    <cfRule type="notContainsBlanks" dxfId="0" priority="1">
      <formula>LEN(TRIM(B10))&gt;0</formula>
    </cfRule>
  </conditionalFormatting>
  <conditionalFormatting sqref="D10:D26">
    <cfRule type="expression" dxfId="0" priority="2">
      <formula>not(isblank(B10))</formula>
    </cfRule>
  </conditionalFormatting>
  <conditionalFormatting sqref="J10:J14 J16:J26">
    <cfRule type="expression" dxfId="0" priority="3">
      <formula>not(isblank(H10))</formula>
    </cfRule>
  </conditionalFormatting>
  <conditionalFormatting sqref="F9:F26 L9:L14 L16:L26">
    <cfRule type="cellIs" dxfId="1" priority="4" operator="lessThan">
      <formula>0</formula>
    </cfRule>
  </conditionalFormatting>
  <conditionalFormatting sqref="F10:F26 L10:L14 L16:L26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92">
        <f>-(B1-C1)</f>
        <v>0</v>
      </c>
      <c r="B1" s="92">
        <f>SUM(B3:B1001)*0.73</f>
        <v>0</v>
      </c>
      <c r="C1" s="92">
        <f>SUM(C3:C1001)*0.27</f>
        <v>0</v>
      </c>
      <c r="D1" s="93"/>
      <c r="E1" s="94" t="s">
        <v>0</v>
      </c>
      <c r="F1" s="95">
        <f>Resumen!G1+2</f>
        <v>927.24</v>
      </c>
      <c r="G1" s="93"/>
      <c r="H1" s="93"/>
      <c r="I1" s="93"/>
      <c r="J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6" t="s">
        <v>31</v>
      </c>
      <c r="B2" s="92" t="s">
        <v>32</v>
      </c>
      <c r="C2" s="97" t="s">
        <v>16</v>
      </c>
      <c r="D2" s="93"/>
      <c r="E2" s="93"/>
      <c r="F2" s="98">
        <v>45467.0</v>
      </c>
      <c r="G2" s="93"/>
      <c r="H2" s="93"/>
      <c r="I2" s="93"/>
      <c r="J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E3">
        <f>1480000/(3900000+1480000)</f>
        <v>0.2750929368</v>
      </c>
      <c r="F3" s="99" t="s">
        <v>33</v>
      </c>
      <c r="G3" s="100"/>
      <c r="H3" s="101">
        <f>25000+28300</f>
        <v>53300</v>
      </c>
      <c r="J3" s="94" t="s">
        <v>34</v>
      </c>
      <c r="K3" s="102">
        <v>2318.0</v>
      </c>
    </row>
    <row r="4">
      <c r="F4" s="103" t="s">
        <v>35</v>
      </c>
      <c r="G4" s="104"/>
      <c r="H4" s="105">
        <v>12390.0</v>
      </c>
      <c r="J4" s="106" t="s">
        <v>36</v>
      </c>
      <c r="K4" s="102">
        <v>4209.0</v>
      </c>
    </row>
    <row r="5">
      <c r="F5" s="103" t="s">
        <v>37</v>
      </c>
      <c r="G5" s="104"/>
      <c r="H5" s="105">
        <v>-27000.0</v>
      </c>
      <c r="J5" s="106" t="s">
        <v>38</v>
      </c>
      <c r="K5" s="107">
        <f>19*2/14*1350</f>
        <v>3664.285714</v>
      </c>
    </row>
    <row r="6">
      <c r="F6" s="103" t="s">
        <v>39</v>
      </c>
      <c r="G6" s="108">
        <v>80500.0</v>
      </c>
      <c r="H6" s="109"/>
    </row>
    <row r="7">
      <c r="F7" s="103" t="s">
        <v>38</v>
      </c>
      <c r="G7" s="104"/>
      <c r="H7" s="105">
        <v>13250.0</v>
      </c>
    </row>
    <row r="8">
      <c r="F8" s="103" t="s">
        <v>40</v>
      </c>
      <c r="G8" s="104"/>
      <c r="H8" s="105">
        <f>35600-13500</f>
        <v>22100</v>
      </c>
    </row>
    <row r="9">
      <c r="F9" s="103" t="s">
        <v>41</v>
      </c>
      <c r="G9" s="104"/>
      <c r="H9" s="105">
        <v>6500.0</v>
      </c>
    </row>
    <row r="10">
      <c r="F10" s="103" t="s">
        <v>38</v>
      </c>
      <c r="G10" s="108">
        <v>52061.0</v>
      </c>
      <c r="H10" s="109"/>
    </row>
    <row r="11">
      <c r="F11" s="103" t="s">
        <v>42</v>
      </c>
      <c r="G11" s="108">
        <v>44275.0</v>
      </c>
      <c r="H11" s="109"/>
    </row>
    <row r="12">
      <c r="F12" s="103" t="s">
        <v>43</v>
      </c>
      <c r="G12" s="108">
        <v>55079.0</v>
      </c>
      <c r="H12" s="109"/>
    </row>
    <row r="13">
      <c r="F13" s="103" t="s">
        <v>42</v>
      </c>
      <c r="G13" s="108">
        <v>6075.0</v>
      </c>
      <c r="H13" s="109"/>
    </row>
    <row r="14">
      <c r="F14" s="110" t="s">
        <v>44</v>
      </c>
      <c r="G14" s="107"/>
      <c r="H14" s="111">
        <v>5800.0</v>
      </c>
    </row>
    <row r="15">
      <c r="F15" s="110" t="s">
        <v>45</v>
      </c>
      <c r="G15" s="107"/>
      <c r="H15" s="111">
        <v>17000.0</v>
      </c>
    </row>
    <row r="16">
      <c r="F16" s="110" t="s">
        <v>38</v>
      </c>
      <c r="G16" s="107"/>
      <c r="H16" s="111">
        <v>10000.0</v>
      </c>
    </row>
    <row r="17">
      <c r="F17" s="110" t="s">
        <v>46</v>
      </c>
      <c r="G17" s="107"/>
      <c r="H17" s="111">
        <v>5400.0</v>
      </c>
    </row>
    <row r="18">
      <c r="F18" s="110" t="s">
        <v>47</v>
      </c>
      <c r="G18" s="107"/>
      <c r="H18" s="111">
        <v>13000.0</v>
      </c>
    </row>
    <row r="19">
      <c r="F19" s="110" t="s">
        <v>48</v>
      </c>
      <c r="G19" s="107"/>
      <c r="H19" s="112">
        <f>-7700*4</f>
        <v>-30800</v>
      </c>
    </row>
    <row r="20">
      <c r="F20" s="110" t="s">
        <v>49</v>
      </c>
      <c r="G20" s="107"/>
      <c r="H20" s="111">
        <v>8000.0</v>
      </c>
    </row>
    <row r="21">
      <c r="F21" s="110" t="s">
        <v>50</v>
      </c>
      <c r="G21" s="107"/>
      <c r="H21" s="111">
        <v>19500.0</v>
      </c>
    </row>
    <row r="22">
      <c r="F22" s="113" t="s">
        <v>42</v>
      </c>
      <c r="G22" s="114">
        <v>64959.0</v>
      </c>
      <c r="H22" s="115"/>
    </row>
    <row r="23">
      <c r="F23" s="116">
        <v>45497.0</v>
      </c>
    </row>
    <row r="24">
      <c r="F24" s="117" t="s">
        <v>51</v>
      </c>
      <c r="G24" s="104"/>
      <c r="H24" s="118">
        <v>8400.0</v>
      </c>
    </row>
    <row r="25">
      <c r="F25" s="117" t="s">
        <v>52</v>
      </c>
      <c r="G25" s="104"/>
      <c r="H25" s="118">
        <v>15000.0</v>
      </c>
    </row>
    <row r="26">
      <c r="F26" s="117" t="s">
        <v>53</v>
      </c>
      <c r="G26" s="104"/>
      <c r="H26" s="118">
        <v>20000.0</v>
      </c>
    </row>
    <row r="27">
      <c r="F27" s="117" t="s">
        <v>54</v>
      </c>
      <c r="G27" s="108"/>
      <c r="H27" s="119">
        <v>9000.0</v>
      </c>
    </row>
    <row r="28">
      <c r="F28" s="117" t="s">
        <v>55</v>
      </c>
      <c r="G28" s="120">
        <v>55258.0</v>
      </c>
      <c r="H28" s="121"/>
    </row>
    <row r="29">
      <c r="F29" s="117" t="s">
        <v>56</v>
      </c>
      <c r="G29" s="104"/>
      <c r="H29" s="118">
        <v>15000.0</v>
      </c>
    </row>
    <row r="30">
      <c r="F30" s="117" t="s">
        <v>57</v>
      </c>
      <c r="G30" s="120"/>
      <c r="H30" s="121"/>
    </row>
    <row r="31">
      <c r="F31" s="117" t="s">
        <v>29</v>
      </c>
      <c r="G31" s="122">
        <v>11837.0</v>
      </c>
      <c r="H31" s="123"/>
    </row>
    <row r="32">
      <c r="F32" s="117" t="s">
        <v>58</v>
      </c>
      <c r="G32" s="108"/>
      <c r="H32" s="119">
        <v>12990.0</v>
      </c>
    </row>
    <row r="33">
      <c r="F33" s="117" t="s">
        <v>59</v>
      </c>
      <c r="G33" s="108"/>
      <c r="H33" s="119">
        <v>18000.0</v>
      </c>
    </row>
    <row r="34">
      <c r="F34" s="117" t="s">
        <v>60</v>
      </c>
      <c r="G34" s="108"/>
      <c r="H34" s="119">
        <v>10000.0</v>
      </c>
    </row>
    <row r="35">
      <c r="F35" s="124" t="s">
        <v>42</v>
      </c>
      <c r="G35" s="102">
        <v>41660.0</v>
      </c>
      <c r="H35" s="125"/>
    </row>
    <row r="36">
      <c r="F36" s="124" t="s">
        <v>61</v>
      </c>
      <c r="G36" s="107"/>
      <c r="H36" s="125">
        <v>20000.0</v>
      </c>
    </row>
    <row r="37">
      <c r="F37" s="124" t="s">
        <v>62</v>
      </c>
      <c r="G37" s="107"/>
      <c r="H37" s="125">
        <v>4500.0</v>
      </c>
    </row>
    <row r="38">
      <c r="F38" s="124"/>
      <c r="G38" s="107"/>
      <c r="H38" s="125"/>
    </row>
    <row r="39">
      <c r="F39" s="124"/>
      <c r="G39" s="107"/>
      <c r="H39" s="125"/>
    </row>
    <row r="40">
      <c r="F40" s="124"/>
      <c r="G40" s="107"/>
      <c r="H40" s="126"/>
    </row>
    <row r="41">
      <c r="F41" s="124"/>
      <c r="G41" s="107"/>
      <c r="H41" s="125"/>
    </row>
    <row r="42">
      <c r="F42" s="124"/>
      <c r="G42" s="107"/>
      <c r="H42" s="125"/>
    </row>
    <row r="43">
      <c r="F43" s="124"/>
      <c r="G43" s="107"/>
      <c r="H43" s="125"/>
    </row>
    <row r="44">
      <c r="F44" s="116">
        <v>45528.0</v>
      </c>
    </row>
    <row r="45">
      <c r="F45" s="117" t="s">
        <v>63</v>
      </c>
      <c r="G45" s="120">
        <v>15400.0</v>
      </c>
      <c r="H45" s="118"/>
    </row>
    <row r="46">
      <c r="F46" s="117" t="s">
        <v>55</v>
      </c>
      <c r="G46" s="120">
        <v>55000.0</v>
      </c>
      <c r="H46" s="118"/>
    </row>
    <row r="47">
      <c r="F47" s="117" t="s">
        <v>63</v>
      </c>
      <c r="G47" s="104"/>
      <c r="H47" s="118">
        <v>10400.0</v>
      </c>
    </row>
    <row r="48">
      <c r="A48" s="127"/>
      <c r="B48" s="107"/>
      <c r="C48" s="126"/>
      <c r="F48" s="117"/>
      <c r="G48" s="108"/>
      <c r="H48" s="119">
        <v>5100.0</v>
      </c>
    </row>
    <row r="49">
      <c r="A49" s="124"/>
      <c r="B49" s="107"/>
      <c r="C49" s="125"/>
      <c r="F49" s="117" t="s">
        <v>64</v>
      </c>
      <c r="G49" s="120">
        <v>48620.0</v>
      </c>
      <c r="H49" s="121"/>
    </row>
    <row r="50">
      <c r="A50" s="124"/>
      <c r="B50" s="107"/>
      <c r="C50" s="128"/>
      <c r="F50" s="117" t="s">
        <v>65</v>
      </c>
      <c r="G50" s="104"/>
      <c r="H50" s="118">
        <v>10000.0</v>
      </c>
    </row>
    <row r="51">
      <c r="A51" s="124"/>
      <c r="B51" s="107"/>
      <c r="C51" s="125"/>
      <c r="F51" s="117" t="s">
        <v>66</v>
      </c>
      <c r="G51" s="120"/>
      <c r="H51" s="118">
        <v>10000.0</v>
      </c>
    </row>
    <row r="52">
      <c r="A52" s="124"/>
      <c r="B52" s="107"/>
      <c r="C52" s="125"/>
      <c r="F52" s="117" t="s">
        <v>67</v>
      </c>
      <c r="G52" s="122"/>
      <c r="H52" s="119">
        <v>16600.0</v>
      </c>
    </row>
    <row r="53">
      <c r="A53" s="124"/>
      <c r="B53" s="107"/>
      <c r="C53" s="126"/>
      <c r="F53" s="117" t="s">
        <v>52</v>
      </c>
      <c r="G53" s="108"/>
      <c r="H53" s="119">
        <v>32500.0</v>
      </c>
    </row>
    <row r="54">
      <c r="A54" s="124"/>
      <c r="B54" s="107"/>
      <c r="C54" s="125"/>
      <c r="F54" s="117" t="s">
        <v>68</v>
      </c>
      <c r="G54" s="108"/>
      <c r="H54" s="119">
        <v>16000.0</v>
      </c>
    </row>
    <row r="55">
      <c r="A55" s="124"/>
      <c r="B55" s="107"/>
      <c r="C55" s="125"/>
      <c r="F55" s="117" t="s">
        <v>69</v>
      </c>
      <c r="G55" s="122">
        <v>156000.0</v>
      </c>
      <c r="H55" s="119"/>
    </row>
    <row r="56">
      <c r="A56" s="124"/>
      <c r="B56" s="107"/>
      <c r="C56" s="125"/>
      <c r="F56" s="124" t="s">
        <v>70</v>
      </c>
      <c r="G56" s="102"/>
      <c r="H56" s="125">
        <v>16000.0</v>
      </c>
    </row>
    <row r="57">
      <c r="A57" s="129"/>
      <c r="B57" s="130"/>
      <c r="C57" s="126"/>
      <c r="F57" s="124" t="s">
        <v>41</v>
      </c>
      <c r="G57" s="107"/>
      <c r="H57" s="125">
        <v>8000.0</v>
      </c>
    </row>
    <row r="58">
      <c r="A58" s="129"/>
      <c r="B58" s="130"/>
      <c r="C58" s="130"/>
      <c r="F58" s="124" t="s">
        <v>71</v>
      </c>
      <c r="G58" s="102">
        <v>35000.0</v>
      </c>
      <c r="H58" s="125"/>
    </row>
    <row r="59">
      <c r="A59" s="129"/>
      <c r="B59" s="131"/>
      <c r="C59" s="131"/>
      <c r="F59" s="124"/>
      <c r="G59" s="107"/>
      <c r="H59" s="125"/>
    </row>
    <row r="60">
      <c r="A60" s="129"/>
      <c r="B60" s="131"/>
      <c r="C60" s="131"/>
    </row>
    <row r="61">
      <c r="F61" s="117" t="s">
        <v>72</v>
      </c>
      <c r="G61" s="120">
        <v>8200.0</v>
      </c>
      <c r="H61" s="118"/>
    </row>
    <row r="62">
      <c r="A62" s="124"/>
      <c r="B62" s="107"/>
      <c r="C62" s="102"/>
      <c r="F62" s="117" t="s">
        <v>73</v>
      </c>
      <c r="G62" s="120">
        <v>18508.0</v>
      </c>
      <c r="H62" s="118"/>
    </row>
    <row r="63">
      <c r="A63" s="124"/>
      <c r="B63" s="107"/>
      <c r="C63" s="125"/>
      <c r="F63" s="117" t="s">
        <v>74</v>
      </c>
      <c r="G63" s="104"/>
      <c r="H63" s="118">
        <v>14000.0</v>
      </c>
    </row>
    <row r="64">
      <c r="A64" s="124"/>
      <c r="B64" s="107"/>
      <c r="C64" s="125"/>
      <c r="F64" s="117" t="s">
        <v>75</v>
      </c>
      <c r="G64" s="122">
        <v>9500.0</v>
      </c>
      <c r="H64" s="119"/>
    </row>
    <row r="65">
      <c r="A65" s="129"/>
      <c r="B65" s="130"/>
      <c r="C65" s="126"/>
      <c r="F65" s="117" t="s">
        <v>76</v>
      </c>
      <c r="G65" s="120"/>
      <c r="H65" s="118">
        <v>10000.0</v>
      </c>
    </row>
    <row r="66">
      <c r="A66" s="124"/>
      <c r="B66" s="107"/>
      <c r="C66" s="126"/>
      <c r="F66" s="117" t="s">
        <v>77</v>
      </c>
      <c r="G66" s="120">
        <v>52500.0</v>
      </c>
      <c r="H66" s="118"/>
    </row>
    <row r="67">
      <c r="A67" s="127"/>
      <c r="B67" s="107"/>
      <c r="C67" s="126"/>
      <c r="F67" s="117" t="s">
        <v>78</v>
      </c>
      <c r="G67" s="120"/>
      <c r="H67" s="118">
        <v>10000.0</v>
      </c>
    </row>
    <row r="68">
      <c r="A68" s="124"/>
      <c r="B68" s="107"/>
      <c r="C68" s="126"/>
      <c r="F68" s="117" t="s">
        <v>79</v>
      </c>
      <c r="G68" s="122">
        <v>16000.0</v>
      </c>
      <c r="H68" s="119"/>
    </row>
    <row r="69">
      <c r="A69" s="124"/>
      <c r="B69" s="107"/>
      <c r="C69" s="125"/>
      <c r="F69" s="117" t="s">
        <v>80</v>
      </c>
      <c r="G69" s="108"/>
      <c r="H69" s="119">
        <v>58300.0</v>
      </c>
    </row>
    <row r="70">
      <c r="A70" s="129"/>
      <c r="B70" s="130"/>
      <c r="C70" s="126"/>
      <c r="F70" s="117" t="s">
        <v>81</v>
      </c>
      <c r="G70" s="108"/>
      <c r="H70" s="119">
        <v>12000.0</v>
      </c>
    </row>
    <row r="71">
      <c r="A71" s="124"/>
      <c r="B71" s="107"/>
      <c r="C71" s="126"/>
      <c r="F71" s="117" t="s">
        <v>82</v>
      </c>
      <c r="G71" s="122">
        <v>39000.0</v>
      </c>
      <c r="H71" s="119"/>
    </row>
    <row r="72">
      <c r="A72" s="129"/>
      <c r="B72" s="130"/>
      <c r="C72" s="126"/>
      <c r="F72" s="124" t="s">
        <v>83</v>
      </c>
      <c r="G72" s="102"/>
      <c r="H72" s="125">
        <v>50955.0</v>
      </c>
    </row>
    <row r="73">
      <c r="A73" s="127"/>
      <c r="B73" s="107"/>
      <c r="C73" s="126"/>
      <c r="F73" s="124" t="s">
        <v>84</v>
      </c>
      <c r="G73" s="107"/>
      <c r="H73" s="125">
        <v>10000.0</v>
      </c>
    </row>
    <row r="74">
      <c r="A74" s="127"/>
      <c r="B74" s="107"/>
      <c r="C74" s="126"/>
    </row>
    <row r="75">
      <c r="A75" s="127"/>
      <c r="B75" s="107"/>
      <c r="C75" s="126"/>
    </row>
    <row r="76">
      <c r="A76" s="127"/>
      <c r="B76" s="107"/>
      <c r="C76" s="126"/>
      <c r="F76" s="117" t="s">
        <v>76</v>
      </c>
      <c r="G76" s="120"/>
      <c r="H76" s="118">
        <v>5000.0</v>
      </c>
    </row>
    <row r="77">
      <c r="A77" s="127"/>
      <c r="B77" s="107"/>
      <c r="C77" s="126"/>
      <c r="F77" s="117" t="s">
        <v>85</v>
      </c>
      <c r="G77" s="120">
        <v>7900.0</v>
      </c>
      <c r="H77" s="118"/>
    </row>
    <row r="78">
      <c r="A78" s="127"/>
      <c r="B78" s="107"/>
      <c r="C78" s="126"/>
      <c r="F78" s="117" t="s">
        <v>86</v>
      </c>
      <c r="G78" s="104"/>
      <c r="H78" s="118">
        <v>21000.0</v>
      </c>
    </row>
    <row r="79">
      <c r="A79" s="127"/>
      <c r="B79" s="107"/>
      <c r="C79" s="126"/>
      <c r="F79" s="117" t="s">
        <v>52</v>
      </c>
      <c r="G79" s="122"/>
      <c r="H79" s="119">
        <v>15000.0</v>
      </c>
    </row>
    <row r="80">
      <c r="A80" s="127"/>
      <c r="B80" s="107"/>
      <c r="C80" s="126"/>
      <c r="F80" s="117" t="s">
        <v>52</v>
      </c>
      <c r="G80" s="120"/>
      <c r="H80" s="118">
        <v>15000.0</v>
      </c>
    </row>
    <row r="81">
      <c r="A81" s="127"/>
      <c r="B81" s="107"/>
      <c r="C81" s="126"/>
      <c r="F81" s="117" t="s">
        <v>87</v>
      </c>
      <c r="G81" s="120"/>
      <c r="H81" s="118">
        <v>24000.0</v>
      </c>
    </row>
    <row r="82">
      <c r="A82" s="127"/>
      <c r="B82" s="107"/>
      <c r="C82" s="126"/>
      <c r="F82" s="117"/>
      <c r="G82" s="120"/>
      <c r="H82" s="118"/>
    </row>
    <row r="83">
      <c r="A83" s="127"/>
      <c r="B83" s="107"/>
      <c r="C83" s="126"/>
    </row>
    <row r="84">
      <c r="A84" s="127"/>
      <c r="B84" s="107"/>
      <c r="C84" s="126"/>
      <c r="F84" s="117" t="s">
        <v>88</v>
      </c>
      <c r="G84" s="120">
        <v>32000.0</v>
      </c>
      <c r="H84" s="118"/>
    </row>
    <row r="85">
      <c r="A85" s="127"/>
      <c r="B85" s="107"/>
      <c r="C85" s="126"/>
      <c r="F85" s="117" t="s">
        <v>89</v>
      </c>
      <c r="G85" s="120">
        <v>9600.0</v>
      </c>
      <c r="H85" s="118"/>
    </row>
    <row r="86">
      <c r="A86" s="127"/>
      <c r="B86" s="107"/>
      <c r="C86" s="126"/>
      <c r="F86" s="117" t="s">
        <v>90</v>
      </c>
      <c r="G86" s="104"/>
      <c r="H86" s="118">
        <f>17*F1</f>
        <v>15763.08</v>
      </c>
    </row>
    <row r="87">
      <c r="A87" s="127"/>
      <c r="B87" s="107"/>
      <c r="C87" s="126"/>
      <c r="F87" s="117" t="s">
        <v>91</v>
      </c>
      <c r="G87" s="122">
        <f>8500*2</f>
        <v>17000</v>
      </c>
      <c r="H87" s="119"/>
    </row>
    <row r="88">
      <c r="A88" s="127"/>
      <c r="B88" s="107"/>
      <c r="C88" s="126"/>
      <c r="F88" s="117" t="s">
        <v>92</v>
      </c>
      <c r="G88" s="120"/>
      <c r="H88" s="118">
        <f>127.8*F1</f>
        <v>118501.272</v>
      </c>
    </row>
    <row r="89">
      <c r="A89" s="127"/>
      <c r="B89" s="107"/>
      <c r="C89" s="126"/>
      <c r="F89" s="117" t="s">
        <v>93</v>
      </c>
      <c r="G89" s="120">
        <f>70.34*980</f>
        <v>68933.2</v>
      </c>
      <c r="H89" s="118"/>
    </row>
    <row r="90">
      <c r="A90" s="127"/>
      <c r="B90" s="107"/>
      <c r="C90" s="126"/>
      <c r="F90" s="117" t="s">
        <v>94</v>
      </c>
      <c r="G90" s="120"/>
      <c r="H90" s="118">
        <f>10*980</f>
        <v>9800</v>
      </c>
    </row>
    <row r="91">
      <c r="A91" s="127"/>
      <c r="B91" s="107"/>
      <c r="C91" s="126"/>
      <c r="F91" s="117" t="s">
        <v>95</v>
      </c>
      <c r="G91" s="122"/>
      <c r="H91" s="119">
        <f>38*980</f>
        <v>37240</v>
      </c>
    </row>
    <row r="92">
      <c r="A92" s="127"/>
      <c r="B92" s="107"/>
      <c r="C92" s="126"/>
      <c r="F92" s="132" t="s">
        <v>96</v>
      </c>
      <c r="G92" s="122">
        <f>63729/880*980</f>
        <v>70970.93182</v>
      </c>
      <c r="H92" s="119"/>
    </row>
    <row r="93">
      <c r="A93" s="127"/>
      <c r="B93" s="107"/>
      <c r="C93" s="126"/>
      <c r="F93" s="117" t="s">
        <v>97</v>
      </c>
      <c r="G93" s="108"/>
      <c r="H93" s="119">
        <f>30*980</f>
        <v>29400</v>
      </c>
    </row>
    <row r="94">
      <c r="A94" s="127"/>
      <c r="B94" s="107"/>
      <c r="C94" s="126"/>
      <c r="F94" s="117" t="s">
        <v>98</v>
      </c>
      <c r="G94" s="122"/>
      <c r="H94" s="119">
        <f>229*980</f>
        <v>224420</v>
      </c>
    </row>
    <row r="95">
      <c r="A95" s="127"/>
      <c r="B95" s="107"/>
      <c r="C95" s="126"/>
      <c r="F95" s="124" t="s">
        <v>99</v>
      </c>
      <c r="G95" s="102"/>
      <c r="H95" s="125">
        <f>17.32*980</f>
        <v>16973.6</v>
      </c>
    </row>
    <row r="96">
      <c r="A96" s="127"/>
      <c r="B96" s="107"/>
      <c r="C96" s="126"/>
      <c r="F96" s="124" t="s">
        <v>100</v>
      </c>
      <c r="G96" s="107"/>
      <c r="H96" s="125">
        <f>10*980</f>
        <v>9800</v>
      </c>
    </row>
    <row r="97">
      <c r="A97" s="127"/>
      <c r="B97" s="107"/>
      <c r="C97" s="126"/>
      <c r="F97" s="124" t="s">
        <v>101</v>
      </c>
      <c r="G97" s="102"/>
      <c r="H97" s="125">
        <f>9*980</f>
        <v>8820</v>
      </c>
    </row>
    <row r="98">
      <c r="A98" s="127"/>
      <c r="B98" s="107"/>
      <c r="C98" s="126"/>
      <c r="F98" s="124" t="s">
        <v>102</v>
      </c>
      <c r="G98" s="107"/>
      <c r="H98" s="125">
        <v>200900</v>
      </c>
    </row>
    <row r="99">
      <c r="A99" s="127"/>
      <c r="B99" s="107"/>
      <c r="C99" s="126"/>
      <c r="F99" s="124" t="s">
        <v>103</v>
      </c>
      <c r="G99" s="107"/>
      <c r="H99" s="125">
        <f>58.4*980</f>
        <v>57232</v>
      </c>
    </row>
    <row r="100">
      <c r="A100" s="127"/>
      <c r="B100" s="107"/>
      <c r="C100" s="126"/>
      <c r="F100" s="124" t="s">
        <v>104</v>
      </c>
      <c r="G100" s="102">
        <v>95275.0</v>
      </c>
      <c r="H100" s="126"/>
    </row>
    <row r="101">
      <c r="A101" s="127"/>
      <c r="B101" s="107"/>
      <c r="C101" s="126"/>
      <c r="F101" s="124" t="s">
        <v>105</v>
      </c>
      <c r="G101" s="107"/>
      <c r="H101" s="125">
        <v>15000.0</v>
      </c>
    </row>
    <row r="102">
      <c r="A102" s="127"/>
      <c r="B102" s="107"/>
      <c r="C102" s="126"/>
      <c r="F102" s="124"/>
      <c r="G102" s="107"/>
      <c r="H102" s="125"/>
    </row>
    <row r="103">
      <c r="A103" s="127"/>
      <c r="B103" s="107"/>
      <c r="C103" s="126"/>
      <c r="F103" s="106" t="s">
        <v>106</v>
      </c>
      <c r="G103" s="106">
        <v>28820.0</v>
      </c>
    </row>
    <row r="104">
      <c r="A104" s="127"/>
      <c r="B104" s="107"/>
      <c r="C104" s="126"/>
      <c r="F104" s="106" t="s">
        <v>107</v>
      </c>
      <c r="H104" s="106">
        <v>69990.0</v>
      </c>
    </row>
    <row r="105">
      <c r="A105" s="127"/>
      <c r="B105" s="107"/>
      <c r="C105" s="126"/>
      <c r="F105" s="106" t="s">
        <v>108</v>
      </c>
      <c r="G105" s="106">
        <v>21000.0</v>
      </c>
    </row>
    <row r="106">
      <c r="A106" s="127"/>
      <c r="B106" s="107"/>
      <c r="C106" s="126"/>
      <c r="F106" s="106" t="s">
        <v>109</v>
      </c>
      <c r="H106" s="106">
        <v>18000.0</v>
      </c>
    </row>
    <row r="107">
      <c r="A107" s="127"/>
      <c r="B107" s="107"/>
      <c r="C107" s="126"/>
      <c r="F107" s="106" t="s">
        <v>110</v>
      </c>
      <c r="G107" s="106">
        <v>38900.0</v>
      </c>
    </row>
    <row r="108">
      <c r="A108" s="127"/>
      <c r="B108" s="107"/>
      <c r="C108" s="126"/>
      <c r="F108" s="106" t="s">
        <v>111</v>
      </c>
      <c r="H108" s="106">
        <v>15600.0</v>
      </c>
    </row>
    <row r="109">
      <c r="A109" s="127"/>
      <c r="B109" s="107"/>
      <c r="C109" s="126"/>
      <c r="F109" s="106" t="s">
        <v>112</v>
      </c>
      <c r="H109" s="106">
        <v>68800.0</v>
      </c>
    </row>
    <row r="110">
      <c r="A110" s="127"/>
      <c r="B110" s="107"/>
      <c r="C110" s="126"/>
      <c r="F110" s="106" t="s">
        <v>113</v>
      </c>
      <c r="H110" s="106">
        <v>28800.0</v>
      </c>
    </row>
    <row r="111">
      <c r="A111" s="127"/>
      <c r="B111" s="107"/>
      <c r="C111" s="126"/>
      <c r="F111" s="106" t="s">
        <v>114</v>
      </c>
      <c r="H111" s="106">
        <v>23450.0</v>
      </c>
    </row>
    <row r="112">
      <c r="A112" s="127"/>
      <c r="B112" s="107"/>
      <c r="C112" s="126"/>
      <c r="F112" s="106" t="s">
        <v>112</v>
      </c>
      <c r="H112" s="106">
        <v>99700.0</v>
      </c>
    </row>
    <row r="113">
      <c r="A113" s="127"/>
      <c r="B113" s="107"/>
      <c r="C113" s="126"/>
    </row>
    <row r="114">
      <c r="A114" s="127"/>
      <c r="B114" s="107"/>
      <c r="C114" s="126"/>
      <c r="F114" s="106" t="s">
        <v>115</v>
      </c>
      <c r="H114">
        <f>(20000+86000)/2</f>
        <v>53000</v>
      </c>
    </row>
    <row r="115">
      <c r="A115" s="127"/>
      <c r="B115" s="107"/>
      <c r="C115" s="126"/>
      <c r="F115" s="106" t="s">
        <v>116</v>
      </c>
      <c r="G115" s="106">
        <v>66102.0</v>
      </c>
    </row>
    <row r="116">
      <c r="A116" s="127"/>
      <c r="B116" s="107"/>
      <c r="C116" s="126"/>
      <c r="F116" s="106" t="s">
        <v>117</v>
      </c>
      <c r="H116" s="106">
        <v>28000.0</v>
      </c>
    </row>
    <row r="117">
      <c r="A117" s="127"/>
      <c r="B117" s="107"/>
      <c r="C117" s="126"/>
      <c r="F117" s="106" t="s">
        <v>52</v>
      </c>
      <c r="H117" s="106">
        <v>15000.0</v>
      </c>
    </row>
    <row r="118">
      <c r="A118" s="127"/>
      <c r="B118" s="107"/>
      <c r="C118" s="126"/>
      <c r="F118" s="106" t="s">
        <v>83</v>
      </c>
      <c r="H118" s="106">
        <v>24000.0</v>
      </c>
    </row>
    <row r="119">
      <c r="A119" s="127"/>
      <c r="B119" s="107"/>
      <c r="C119" s="126"/>
      <c r="F119" s="106" t="s">
        <v>118</v>
      </c>
      <c r="H119" s="106">
        <v>46410.0</v>
      </c>
    </row>
    <row r="120">
      <c r="A120" s="127"/>
      <c r="B120" s="107"/>
      <c r="C120" s="126"/>
      <c r="F120" s="106" t="s">
        <v>119</v>
      </c>
      <c r="H120" s="106">
        <v>11640.0</v>
      </c>
    </row>
    <row r="121">
      <c r="A121" s="127"/>
      <c r="B121" s="107"/>
      <c r="C121" s="126"/>
    </row>
    <row r="122">
      <c r="A122" s="127"/>
      <c r="B122" s="107"/>
      <c r="C122" s="126"/>
      <c r="F122" s="106" t="s">
        <v>120</v>
      </c>
      <c r="H122">
        <f>301000/5*2</f>
        <v>120400</v>
      </c>
    </row>
    <row r="123">
      <c r="A123" s="127"/>
      <c r="B123" s="107"/>
      <c r="C123" s="126"/>
      <c r="F123" s="106" t="s">
        <v>83</v>
      </c>
      <c r="H123" s="106">
        <v>54000.0</v>
      </c>
    </row>
    <row r="124">
      <c r="A124" s="127"/>
      <c r="B124" s="107"/>
      <c r="C124" s="126"/>
      <c r="F124" s="106" t="s">
        <v>121</v>
      </c>
      <c r="G124" s="106">
        <v>65345.0</v>
      </c>
    </row>
    <row r="125">
      <c r="A125" s="127"/>
      <c r="B125" s="107"/>
      <c r="C125" s="126"/>
      <c r="F125" s="106"/>
    </row>
    <row r="126">
      <c r="A126" s="127"/>
      <c r="B126" s="107"/>
      <c r="C126" s="126"/>
      <c r="F126" s="106" t="s">
        <v>122</v>
      </c>
      <c r="H126" s="106">
        <v>42000.0</v>
      </c>
    </row>
    <row r="127">
      <c r="A127" s="127"/>
      <c r="B127" s="107"/>
      <c r="C127" s="126"/>
      <c r="F127" s="106" t="s">
        <v>112</v>
      </c>
      <c r="G127" s="106">
        <v>85000.0</v>
      </c>
    </row>
    <row r="128">
      <c r="A128" s="127"/>
      <c r="B128" s="107"/>
      <c r="C128" s="126"/>
      <c r="F128" s="106" t="s">
        <v>123</v>
      </c>
      <c r="G128" s="106">
        <v>21000.0</v>
      </c>
    </row>
    <row r="129">
      <c r="A129" s="127"/>
      <c r="B129" s="107"/>
      <c r="C129" s="126"/>
      <c r="F129" s="106" t="s">
        <v>124</v>
      </c>
      <c r="G129" s="106">
        <v>29990.0</v>
      </c>
    </row>
    <row r="130">
      <c r="A130" s="127"/>
      <c r="B130" s="107"/>
      <c r="C130" s="126"/>
      <c r="F130" s="106" t="s">
        <v>125</v>
      </c>
      <c r="H130" s="106">
        <v>193698.0</v>
      </c>
    </row>
    <row r="131">
      <c r="A131" s="127"/>
      <c r="B131" s="107"/>
      <c r="C131" s="126"/>
    </row>
    <row r="132">
      <c r="A132" s="127"/>
      <c r="B132" s="107"/>
      <c r="C132" s="126"/>
      <c r="E132" s="106" t="s">
        <v>126</v>
      </c>
      <c r="F132" s="106" t="s">
        <v>127</v>
      </c>
      <c r="H132" s="106">
        <v>5000.0</v>
      </c>
    </row>
    <row r="133">
      <c r="A133" s="127"/>
      <c r="B133" s="107"/>
      <c r="C133" s="126"/>
      <c r="F133" s="106" t="s">
        <v>128</v>
      </c>
      <c r="H133" s="106">
        <v>50500.0</v>
      </c>
    </row>
    <row r="134">
      <c r="A134" s="127"/>
      <c r="B134" s="107"/>
      <c r="C134" s="126"/>
      <c r="F134" s="106" t="s">
        <v>129</v>
      </c>
      <c r="G134" s="106">
        <v>18000.0</v>
      </c>
    </row>
    <row r="135">
      <c r="A135" s="127"/>
      <c r="B135" s="107"/>
      <c r="C135" s="126"/>
      <c r="F135" s="106" t="s">
        <v>112</v>
      </c>
      <c r="H135" s="106">
        <v>32300.0</v>
      </c>
    </row>
    <row r="136">
      <c r="A136" s="127"/>
      <c r="B136" s="107"/>
      <c r="C136" s="126"/>
      <c r="F136" s="106" t="s">
        <v>130</v>
      </c>
      <c r="G136" s="106">
        <v>8725.0</v>
      </c>
    </row>
    <row r="137">
      <c r="A137" s="127"/>
      <c r="B137" s="107"/>
      <c r="C137" s="126"/>
      <c r="F137" s="106" t="s">
        <v>131</v>
      </c>
      <c r="H137" s="106">
        <v>15700.0</v>
      </c>
    </row>
    <row r="138">
      <c r="A138" s="127"/>
      <c r="B138" s="107"/>
      <c r="C138" s="126"/>
      <c r="F138" s="106" t="s">
        <v>116</v>
      </c>
      <c r="G138" s="106">
        <v>66630.0</v>
      </c>
    </row>
    <row r="139">
      <c r="A139" s="127"/>
      <c r="B139" s="107"/>
      <c r="C139" s="126"/>
      <c r="F139" s="106" t="s">
        <v>132</v>
      </c>
      <c r="G139" s="106">
        <v>65996.0</v>
      </c>
    </row>
    <row r="140">
      <c r="A140" s="127"/>
      <c r="B140" s="107"/>
      <c r="C140" s="126"/>
      <c r="F140" s="106" t="s">
        <v>133</v>
      </c>
      <c r="H140" s="106">
        <v>59000.0</v>
      </c>
    </row>
    <row r="141">
      <c r="A141" s="127"/>
      <c r="B141" s="107"/>
      <c r="C141" s="126"/>
      <c r="F141" s="106" t="s">
        <v>76</v>
      </c>
      <c r="H141" s="106">
        <v>10000.0</v>
      </c>
    </row>
    <row r="142">
      <c r="A142" s="127"/>
      <c r="B142" s="107"/>
      <c r="C142" s="126"/>
      <c r="F142" s="106" t="s">
        <v>134</v>
      </c>
      <c r="H142" s="106">
        <v>15000.0</v>
      </c>
    </row>
    <row r="143">
      <c r="A143" s="127"/>
      <c r="B143" s="107"/>
      <c r="C143" s="126"/>
      <c r="F143" s="106" t="s">
        <v>135</v>
      </c>
      <c r="G143" s="106">
        <v>7700.0</v>
      </c>
    </row>
    <row r="144">
      <c r="A144" s="127"/>
      <c r="B144" s="107"/>
      <c r="C144" s="126"/>
      <c r="F144" s="106" t="s">
        <v>136</v>
      </c>
      <c r="H144" s="106">
        <v>16800.0</v>
      </c>
    </row>
    <row r="145">
      <c r="A145" s="127"/>
      <c r="B145" s="107"/>
      <c r="C145" s="126"/>
      <c r="F145" s="106" t="s">
        <v>137</v>
      </c>
      <c r="G145" s="106">
        <v>30000.0</v>
      </c>
    </row>
    <row r="146">
      <c r="A146" s="127"/>
      <c r="B146" s="107"/>
      <c r="C146" s="126"/>
      <c r="F146" s="106" t="s">
        <v>138</v>
      </c>
      <c r="H146" s="106">
        <v>24900.0</v>
      </c>
    </row>
    <row r="147">
      <c r="A147" s="127"/>
      <c r="B147" s="107"/>
      <c r="C147" s="126"/>
      <c r="F147" s="106" t="s">
        <v>112</v>
      </c>
      <c r="H147" s="106">
        <v>33672.0</v>
      </c>
    </row>
    <row r="148">
      <c r="A148" s="127"/>
      <c r="B148" s="107"/>
      <c r="C148" s="126"/>
      <c r="F148" s="106" t="s">
        <v>63</v>
      </c>
      <c r="G148" s="106">
        <v>13487.0</v>
      </c>
    </row>
    <row r="149">
      <c r="A149" s="127"/>
      <c r="B149" s="107"/>
      <c r="C149" s="126"/>
    </row>
    <row r="150">
      <c r="A150" s="127"/>
      <c r="B150" s="107"/>
      <c r="C150" s="126"/>
      <c r="E150" s="106" t="s">
        <v>139</v>
      </c>
      <c r="F150" s="106" t="s">
        <v>112</v>
      </c>
      <c r="H150" s="106">
        <v>197000.0</v>
      </c>
    </row>
    <row r="151">
      <c r="A151" s="127"/>
      <c r="B151" s="107"/>
      <c r="C151" s="126"/>
      <c r="F151" s="106" t="s">
        <v>140</v>
      </c>
      <c r="H151" s="106">
        <v>76890.0</v>
      </c>
    </row>
    <row r="152">
      <c r="A152" s="127"/>
      <c r="B152" s="107"/>
      <c r="C152" s="126"/>
      <c r="F152" s="106" t="s">
        <v>141</v>
      </c>
      <c r="H152" s="106">
        <v>23744.0</v>
      </c>
    </row>
    <row r="153">
      <c r="A153" s="127"/>
      <c r="B153" s="107"/>
      <c r="C153" s="126"/>
      <c r="F153" s="106" t="s">
        <v>142</v>
      </c>
      <c r="H153" s="106">
        <v>39990.0</v>
      </c>
    </row>
    <row r="154">
      <c r="A154" s="127"/>
      <c r="B154" s="107"/>
      <c r="C154" s="126"/>
      <c r="F154" s="106" t="s">
        <v>143</v>
      </c>
      <c r="G154" s="106">
        <v>75000.0</v>
      </c>
    </row>
    <row r="155">
      <c r="A155" s="127"/>
      <c r="B155" s="107"/>
      <c r="C155" s="126"/>
      <c r="F155" s="106" t="s">
        <v>144</v>
      </c>
      <c r="H155" s="106">
        <v>11300.0</v>
      </c>
    </row>
    <row r="156">
      <c r="A156" s="127"/>
      <c r="B156" s="107"/>
      <c r="C156" s="126"/>
      <c r="F156" s="106" t="s">
        <v>145</v>
      </c>
      <c r="H156" s="106">
        <v>27500.0</v>
      </c>
    </row>
    <row r="157">
      <c r="A157" s="127"/>
      <c r="B157" s="107"/>
      <c r="C157" s="126"/>
      <c r="F157" s="106" t="s">
        <v>116</v>
      </c>
      <c r="G157" s="106">
        <v>66950.0</v>
      </c>
      <c r="H157" s="106"/>
    </row>
    <row r="158">
      <c r="A158" s="127"/>
      <c r="B158" s="107"/>
      <c r="C158" s="126"/>
      <c r="F158" s="106" t="s">
        <v>146</v>
      </c>
      <c r="G158" s="106">
        <v>16000.0</v>
      </c>
    </row>
    <row r="159">
      <c r="A159" s="127"/>
      <c r="B159" s="107"/>
      <c r="C159" s="126"/>
      <c r="F159" s="106" t="s">
        <v>147</v>
      </c>
      <c r="H159" s="106">
        <v>41666.0</v>
      </c>
    </row>
    <row r="160">
      <c r="A160" s="127"/>
      <c r="B160" s="107"/>
      <c r="C160" s="126"/>
    </row>
    <row r="161">
      <c r="A161" s="127"/>
      <c r="B161" s="107"/>
      <c r="C161" s="126"/>
      <c r="E161" s="106" t="s">
        <v>148</v>
      </c>
      <c r="F161" s="106" t="s">
        <v>149</v>
      </c>
      <c r="H161" s="106">
        <v>490852.0</v>
      </c>
    </row>
    <row r="162">
      <c r="A162" s="127"/>
      <c r="B162" s="107"/>
      <c r="C162" s="126"/>
      <c r="F162" s="106" t="s">
        <v>150</v>
      </c>
      <c r="H162">
        <f>2*26950</f>
        <v>53900</v>
      </c>
    </row>
    <row r="163">
      <c r="A163" s="127"/>
      <c r="B163" s="107"/>
      <c r="C163" s="126"/>
      <c r="F163" s="106" t="s">
        <v>151</v>
      </c>
      <c r="H163" s="106">
        <v>6000.0</v>
      </c>
    </row>
    <row r="164">
      <c r="A164" s="127"/>
      <c r="B164" s="107"/>
      <c r="C164" s="126"/>
      <c r="F164" s="106" t="s">
        <v>152</v>
      </c>
      <c r="H164" s="106">
        <v>17480.0</v>
      </c>
    </row>
    <row r="165">
      <c r="A165" s="127"/>
      <c r="B165" s="107"/>
      <c r="C165" s="126"/>
      <c r="F165" s="106" t="s">
        <v>153</v>
      </c>
      <c r="G165" s="106">
        <v>54413.0</v>
      </c>
    </row>
    <row r="166">
      <c r="A166" s="127"/>
      <c r="B166" s="107"/>
      <c r="C166" s="126"/>
      <c r="F166" s="106" t="s">
        <v>116</v>
      </c>
      <c r="G166" s="106">
        <v>67277.0</v>
      </c>
    </row>
    <row r="167">
      <c r="A167" s="127"/>
      <c r="B167" s="107"/>
      <c r="C167" s="126"/>
      <c r="F167" s="106" t="s">
        <v>154</v>
      </c>
      <c r="H167" s="106">
        <v>31250.0</v>
      </c>
    </row>
    <row r="168">
      <c r="A168" s="127"/>
      <c r="B168" s="107"/>
      <c r="C168" s="126"/>
      <c r="F168" s="106" t="s">
        <v>155</v>
      </c>
      <c r="H168" s="106">
        <v>29000.0</v>
      </c>
    </row>
    <row r="169">
      <c r="A169" s="127"/>
      <c r="B169" s="107"/>
      <c r="C169" s="126"/>
    </row>
    <row r="170">
      <c r="A170" s="127"/>
      <c r="B170" s="107"/>
      <c r="C170" s="126"/>
      <c r="E170" s="106" t="s">
        <v>156</v>
      </c>
      <c r="F170" s="106" t="s">
        <v>157</v>
      </c>
      <c r="H170" s="106">
        <v>10000.0</v>
      </c>
    </row>
    <row r="171">
      <c r="A171" s="127"/>
      <c r="B171" s="107"/>
      <c r="C171" s="126"/>
      <c r="F171" s="106" t="s">
        <v>158</v>
      </c>
      <c r="H171" s="106">
        <v>16700.0</v>
      </c>
    </row>
    <row r="172">
      <c r="A172" s="127"/>
      <c r="B172" s="107"/>
      <c r="C172" s="126"/>
      <c r="F172" s="106" t="s">
        <v>41</v>
      </c>
      <c r="H172" s="106">
        <v>10000.0</v>
      </c>
    </row>
    <row r="173">
      <c r="A173" s="127"/>
      <c r="B173" s="107"/>
      <c r="C173" s="126"/>
      <c r="F173" s="106" t="s">
        <v>159</v>
      </c>
      <c r="H173" s="106">
        <v>7000.0</v>
      </c>
    </row>
    <row r="174">
      <c r="A174" s="127"/>
      <c r="B174" s="107"/>
      <c r="C174" s="126"/>
      <c r="F174" s="106" t="s">
        <v>116</v>
      </c>
      <c r="G174" s="106">
        <v>67432.0</v>
      </c>
      <c r="H174" s="106"/>
    </row>
    <row r="175">
      <c r="A175" s="127"/>
      <c r="B175" s="107"/>
      <c r="C175" s="126"/>
      <c r="F175" s="106" t="s">
        <v>160</v>
      </c>
      <c r="G175" s="106">
        <v>56310.0</v>
      </c>
    </row>
    <row r="176">
      <c r="A176" s="127"/>
      <c r="B176" s="107"/>
      <c r="C176" s="126"/>
      <c r="F176" s="106" t="s">
        <v>114</v>
      </c>
      <c r="H176" s="106">
        <v>18000.0</v>
      </c>
    </row>
    <row r="177">
      <c r="A177" s="127"/>
      <c r="B177" s="107"/>
      <c r="C177" s="126"/>
      <c r="F177" s="106" t="s">
        <v>161</v>
      </c>
      <c r="H177" s="106">
        <v>53000.0</v>
      </c>
    </row>
    <row r="178">
      <c r="A178" s="127"/>
      <c r="B178" s="107"/>
      <c r="C178" s="126"/>
      <c r="F178" s="106" t="s">
        <v>162</v>
      </c>
      <c r="H178" s="106">
        <v>44800.0</v>
      </c>
    </row>
    <row r="179">
      <c r="A179" s="127"/>
      <c r="B179" s="107"/>
      <c r="C179" s="126"/>
      <c r="F179" s="106" t="s">
        <v>163</v>
      </c>
      <c r="H179" s="106">
        <v>44000.0</v>
      </c>
    </row>
    <row r="180">
      <c r="A180" s="127"/>
      <c r="B180" s="107"/>
      <c r="C180" s="126"/>
      <c r="F180" s="106" t="s">
        <v>164</v>
      </c>
      <c r="H180" s="106">
        <v>50000.0</v>
      </c>
    </row>
    <row r="181">
      <c r="A181" s="127"/>
      <c r="B181" s="107"/>
      <c r="C181" s="126"/>
      <c r="F181" s="106" t="s">
        <v>165</v>
      </c>
      <c r="H181" s="106">
        <v>50000.0</v>
      </c>
    </row>
    <row r="182">
      <c r="A182" s="127"/>
      <c r="B182" s="107"/>
      <c r="C182" s="126"/>
      <c r="F182" s="106" t="s">
        <v>166</v>
      </c>
      <c r="H182" s="106">
        <v>17000.0</v>
      </c>
    </row>
    <row r="183">
      <c r="A183" s="127"/>
      <c r="B183" s="107"/>
      <c r="C183" s="126"/>
      <c r="F183" s="106" t="s">
        <v>167</v>
      </c>
      <c r="H183" s="106">
        <v>19900.0</v>
      </c>
    </row>
    <row r="184">
      <c r="A184" s="127"/>
      <c r="B184" s="107"/>
      <c r="C184" s="126"/>
    </row>
    <row r="185">
      <c r="A185" s="127"/>
      <c r="B185" s="107"/>
      <c r="C185" s="126"/>
      <c r="E185" s="106" t="s">
        <v>168</v>
      </c>
      <c r="F185" s="106" t="s">
        <v>52</v>
      </c>
      <c r="H185" s="106">
        <v>33000.0</v>
      </c>
    </row>
    <row r="186">
      <c r="A186" s="127"/>
      <c r="B186" s="107"/>
      <c r="C186" s="126"/>
      <c r="F186" s="106" t="s">
        <v>169</v>
      </c>
      <c r="G186" s="106">
        <v>17388.0</v>
      </c>
    </row>
    <row r="187">
      <c r="A187" s="127"/>
      <c r="B187" s="107"/>
      <c r="C187" s="126"/>
      <c r="F187" s="106" t="s">
        <v>161</v>
      </c>
      <c r="H187" s="106">
        <v>78650.0</v>
      </c>
    </row>
    <row r="188">
      <c r="A188" s="127"/>
      <c r="B188" s="107"/>
      <c r="C188" s="126"/>
      <c r="F188" s="106" t="s">
        <v>116</v>
      </c>
      <c r="G188" s="106">
        <v>67566.0</v>
      </c>
    </row>
    <row r="189">
      <c r="A189" s="127"/>
      <c r="B189" s="107"/>
      <c r="C189" s="126"/>
      <c r="F189" s="106" t="s">
        <v>170</v>
      </c>
      <c r="H189" s="106">
        <v>16000.0</v>
      </c>
    </row>
    <row r="190">
      <c r="A190" s="127"/>
      <c r="B190" s="107"/>
      <c r="C190" s="126"/>
      <c r="F190" s="106" t="s">
        <v>171</v>
      </c>
      <c r="H190" s="106">
        <v>21000.0</v>
      </c>
    </row>
    <row r="191">
      <c r="A191" s="127"/>
      <c r="B191" s="107"/>
      <c r="C191" s="126"/>
      <c r="F191" s="106" t="s">
        <v>172</v>
      </c>
      <c r="H191" s="106">
        <v>10200.0</v>
      </c>
    </row>
    <row r="192">
      <c r="A192" s="127"/>
      <c r="B192" s="107"/>
      <c r="C192" s="126"/>
      <c r="F192" s="106" t="s">
        <v>173</v>
      </c>
      <c r="H192" s="106">
        <v>34000.0</v>
      </c>
    </row>
    <row r="193">
      <c r="A193" s="127"/>
      <c r="B193" s="107"/>
      <c r="C193" s="126"/>
      <c r="F193" s="106" t="s">
        <v>174</v>
      </c>
      <c r="H193">
        <f>9900+11000</f>
        <v>20900</v>
      </c>
    </row>
    <row r="194">
      <c r="A194" s="127"/>
      <c r="B194" s="107"/>
      <c r="C194" s="126"/>
      <c r="F194" s="106" t="s">
        <v>175</v>
      </c>
      <c r="H194" s="106">
        <v>14280.0</v>
      </c>
    </row>
    <row r="195">
      <c r="A195" s="127"/>
      <c r="B195" s="107"/>
      <c r="C195" s="126"/>
      <c r="F195" s="106" t="s">
        <v>149</v>
      </c>
      <c r="H195">
        <f>50632+803000-490453</f>
        <v>363179</v>
      </c>
    </row>
    <row r="196">
      <c r="A196" s="127"/>
      <c r="B196" s="107"/>
      <c r="C196" s="126"/>
      <c r="F196" s="106" t="s">
        <v>29</v>
      </c>
      <c r="H196" s="106">
        <v>15600.0</v>
      </c>
    </row>
    <row r="197">
      <c r="A197" s="127"/>
      <c r="B197" s="107"/>
      <c r="C197" s="126"/>
      <c r="F197" s="106" t="s">
        <v>176</v>
      </c>
      <c r="G197" s="106">
        <v>22000.0</v>
      </c>
      <c r="H197" s="106"/>
    </row>
    <row r="198">
      <c r="A198" s="127"/>
      <c r="B198" s="107"/>
      <c r="C198" s="126"/>
    </row>
    <row r="199">
      <c r="A199" s="127"/>
      <c r="B199" s="107"/>
      <c r="C199" s="126"/>
      <c r="E199" s="106" t="s">
        <v>177</v>
      </c>
      <c r="F199" s="106" t="s">
        <v>116</v>
      </c>
      <c r="G199" s="106">
        <v>67336.0</v>
      </c>
    </row>
    <row r="200">
      <c r="A200" s="127"/>
      <c r="B200" s="107"/>
      <c r="C200" s="126"/>
      <c r="F200" s="106" t="s">
        <v>178</v>
      </c>
      <c r="G200" s="106">
        <v>20820.0</v>
      </c>
    </row>
    <row r="201">
      <c r="A201" s="127"/>
      <c r="B201" s="107"/>
      <c r="C201" s="126"/>
      <c r="F201" s="106" t="s">
        <v>179</v>
      </c>
      <c r="G201" s="133"/>
      <c r="H201" s="106">
        <v>14580.0</v>
      </c>
    </row>
    <row r="202">
      <c r="A202" s="127"/>
      <c r="B202" s="107"/>
      <c r="C202" s="126"/>
      <c r="F202" s="106" t="s">
        <v>180</v>
      </c>
      <c r="G202" s="106">
        <v>20272.0</v>
      </c>
    </row>
    <row r="203">
      <c r="A203" s="127"/>
      <c r="B203" s="107"/>
      <c r="C203" s="126"/>
      <c r="F203" s="106" t="s">
        <v>83</v>
      </c>
      <c r="H203" s="106">
        <v>50500.0</v>
      </c>
    </row>
    <row r="204">
      <c r="A204" s="127"/>
      <c r="B204" s="107"/>
      <c r="C204" s="126"/>
      <c r="F204" s="106" t="s">
        <v>181</v>
      </c>
      <c r="H204" s="106">
        <v>61000.0</v>
      </c>
    </row>
    <row r="205">
      <c r="A205" s="127"/>
      <c r="B205" s="107"/>
      <c r="C205" s="126"/>
      <c r="F205" s="106" t="s">
        <v>112</v>
      </c>
      <c r="H205" s="106">
        <v>30960.0</v>
      </c>
    </row>
    <row r="206">
      <c r="A206" s="127"/>
      <c r="B206" s="107"/>
      <c r="C206" s="126"/>
      <c r="F206" s="106" t="s">
        <v>182</v>
      </c>
      <c r="G206" s="106">
        <v>61000.0</v>
      </c>
      <c r="H206" s="106"/>
    </row>
    <row r="207">
      <c r="A207" s="127"/>
      <c r="B207" s="107"/>
      <c r="C207" s="126"/>
    </row>
    <row r="208">
      <c r="A208" s="127"/>
      <c r="B208" s="107"/>
      <c r="C208" s="126"/>
      <c r="F208" s="106" t="s">
        <v>116</v>
      </c>
      <c r="G208" s="106">
        <v>67856.0</v>
      </c>
    </row>
    <row r="209">
      <c r="A209" s="127"/>
      <c r="B209" s="107"/>
      <c r="C209" s="126"/>
      <c r="F209" s="106" t="s">
        <v>183</v>
      </c>
      <c r="H209">
        <f>22000*2</f>
        <v>44000</v>
      </c>
    </row>
    <row r="210">
      <c r="A210" s="127"/>
      <c r="B210" s="107"/>
      <c r="C210" s="126"/>
      <c r="F210" s="106" t="s">
        <v>184</v>
      </c>
      <c r="H210">
        <f>64000*2</f>
        <v>128000</v>
      </c>
    </row>
    <row r="211">
      <c r="A211" s="127"/>
      <c r="B211" s="107"/>
      <c r="C211" s="126"/>
      <c r="F211" s="106" t="s">
        <v>185</v>
      </c>
      <c r="G211" s="134">
        <f>111*F1</f>
        <v>102923.64</v>
      </c>
    </row>
    <row r="212">
      <c r="A212" s="127"/>
      <c r="B212" s="107"/>
      <c r="C212" s="126"/>
      <c r="F212" s="106" t="s">
        <v>186</v>
      </c>
      <c r="H212" s="106">
        <v>52000.0</v>
      </c>
    </row>
    <row r="213">
      <c r="A213" s="127"/>
      <c r="B213" s="107"/>
      <c r="C213" s="126"/>
      <c r="F213" s="106" t="s">
        <v>187</v>
      </c>
      <c r="H213" s="106">
        <v>39000.0</v>
      </c>
    </row>
    <row r="214">
      <c r="A214" s="127"/>
      <c r="B214" s="107"/>
      <c r="C214" s="126"/>
      <c r="F214" s="106" t="s">
        <v>188</v>
      </c>
      <c r="H214" s="106">
        <v>49000.0</v>
      </c>
    </row>
    <row r="215">
      <c r="A215" s="127"/>
      <c r="B215" s="107"/>
      <c r="C215" s="126"/>
      <c r="F215" s="106" t="s">
        <v>181</v>
      </c>
      <c r="H215" s="106">
        <v>61000.0</v>
      </c>
    </row>
    <row r="216">
      <c r="A216" s="127"/>
      <c r="B216" s="107"/>
      <c r="C216" s="126"/>
      <c r="F216" s="106" t="s">
        <v>138</v>
      </c>
      <c r="H216" s="106">
        <v>23000.0</v>
      </c>
    </row>
    <row r="217">
      <c r="A217" s="127"/>
      <c r="B217" s="107"/>
      <c r="C217" s="126"/>
      <c r="F217" s="106" t="s">
        <v>189</v>
      </c>
      <c r="G217" s="106">
        <v>19400.0</v>
      </c>
      <c r="H217" s="106"/>
    </row>
    <row r="218">
      <c r="A218" s="127"/>
      <c r="B218" s="107"/>
      <c r="C218" s="126"/>
      <c r="F218" s="106" t="s">
        <v>83</v>
      </c>
      <c r="H218" s="106">
        <v>54000.0</v>
      </c>
    </row>
    <row r="219">
      <c r="A219" s="127"/>
      <c r="B219" s="107"/>
      <c r="C219" s="126"/>
      <c r="F219" s="106" t="s">
        <v>190</v>
      </c>
      <c r="H219" s="106">
        <v>26000.0</v>
      </c>
    </row>
    <row r="220">
      <c r="A220" s="127"/>
      <c r="B220" s="107"/>
      <c r="C220" s="126"/>
      <c r="F220" s="106" t="s">
        <v>39</v>
      </c>
      <c r="H220" s="106">
        <f>62200*2</f>
        <v>124400</v>
      </c>
    </row>
    <row r="221">
      <c r="A221" s="127"/>
      <c r="B221" s="107"/>
      <c r="C221" s="126"/>
    </row>
    <row r="222">
      <c r="A222" s="127"/>
      <c r="B222" s="107"/>
      <c r="C222" s="126"/>
      <c r="F222" s="106" t="s">
        <v>116</v>
      </c>
      <c r="G222" s="106">
        <v>67915.0</v>
      </c>
    </row>
    <row r="223">
      <c r="A223" s="127"/>
      <c r="B223" s="107"/>
      <c r="C223" s="126"/>
      <c r="F223" s="106" t="s">
        <v>191</v>
      </c>
      <c r="H223" s="106">
        <v>34000.0</v>
      </c>
    </row>
    <row r="224">
      <c r="A224" s="127"/>
      <c r="B224" s="107"/>
      <c r="C224" s="126"/>
      <c r="F224" s="106" t="s">
        <v>192</v>
      </c>
      <c r="H224" s="106">
        <v>25000.0</v>
      </c>
    </row>
    <row r="225">
      <c r="A225" s="127"/>
      <c r="B225" s="107"/>
      <c r="C225" s="126"/>
      <c r="F225" s="106" t="s">
        <v>193</v>
      </c>
      <c r="H225" s="106">
        <v>40000.0</v>
      </c>
    </row>
    <row r="226">
      <c r="A226" s="127"/>
      <c r="B226" s="107"/>
      <c r="C226" s="126"/>
      <c r="F226" s="106" t="s">
        <v>194</v>
      </c>
      <c r="H226" s="106">
        <v>17000.0</v>
      </c>
    </row>
    <row r="227">
      <c r="A227" s="127"/>
      <c r="B227" s="107"/>
      <c r="C227" s="126"/>
      <c r="F227" s="106" t="s">
        <v>195</v>
      </c>
      <c r="H227" s="106">
        <v>32400.0</v>
      </c>
    </row>
    <row r="228">
      <c r="A228" s="127"/>
      <c r="B228" s="107"/>
      <c r="C228" s="126"/>
      <c r="F228" s="106" t="s">
        <v>196</v>
      </c>
      <c r="H228" s="106">
        <v>6260.0</v>
      </c>
    </row>
    <row r="229">
      <c r="A229" s="127"/>
      <c r="B229" s="107"/>
      <c r="C229" s="126"/>
      <c r="F229" s="106" t="s">
        <v>197</v>
      </c>
      <c r="H229" s="106">
        <v>138000.0</v>
      </c>
    </row>
    <row r="230">
      <c r="A230" s="127"/>
      <c r="B230" s="107"/>
      <c r="C230" s="126"/>
      <c r="F230" s="106" t="s">
        <v>198</v>
      </c>
      <c r="H230" s="106">
        <v>5500.0</v>
      </c>
    </row>
    <row r="231">
      <c r="A231" s="127"/>
      <c r="B231" s="107"/>
      <c r="C231" s="126"/>
      <c r="F231" s="106" t="s">
        <v>199</v>
      </c>
      <c r="H231" s="106">
        <v>44292.0</v>
      </c>
    </row>
    <row r="232">
      <c r="A232" s="127"/>
      <c r="B232" s="107"/>
      <c r="C232" s="126"/>
      <c r="F232" s="106" t="s">
        <v>200</v>
      </c>
      <c r="H232" s="106">
        <v>4460.0</v>
      </c>
    </row>
    <row r="233">
      <c r="A233" s="127"/>
      <c r="B233" s="107"/>
      <c r="C233" s="126"/>
      <c r="F233" s="106" t="s">
        <v>53</v>
      </c>
      <c r="H233" s="106">
        <v>22943.0</v>
      </c>
    </row>
    <row r="234">
      <c r="A234" s="127"/>
      <c r="B234" s="107"/>
      <c r="C234" s="126"/>
      <c r="F234" s="106" t="s">
        <v>198</v>
      </c>
      <c r="H234" s="106">
        <v>3350.0</v>
      </c>
    </row>
    <row r="235">
      <c r="A235" s="127"/>
      <c r="B235" s="107"/>
      <c r="C235" s="126"/>
      <c r="F235" s="106" t="s">
        <v>201</v>
      </c>
      <c r="H235" s="106">
        <f>305000/4*2</f>
        <v>152500</v>
      </c>
    </row>
    <row r="236">
      <c r="A236" s="127"/>
      <c r="B236" s="107"/>
      <c r="C236" s="126"/>
      <c r="F236" s="106" t="s">
        <v>198</v>
      </c>
      <c r="H236" s="106">
        <v>3350.0</v>
      </c>
    </row>
    <row r="237">
      <c r="A237" s="127"/>
      <c r="B237" s="107"/>
      <c r="C237" s="126"/>
      <c r="F237" s="106" t="s">
        <v>202</v>
      </c>
      <c r="H237" s="106">
        <v>6680.0</v>
      </c>
    </row>
    <row r="238">
      <c r="A238" s="127"/>
      <c r="B238" s="107"/>
      <c r="C238" s="126"/>
      <c r="F238" s="106" t="s">
        <v>203</v>
      </c>
      <c r="H238">
        <f>12.9*960</f>
        <v>12384</v>
      </c>
    </row>
    <row r="239">
      <c r="A239" s="127"/>
      <c r="B239" s="107"/>
      <c r="C239" s="126"/>
      <c r="F239" s="106" t="s">
        <v>204</v>
      </c>
      <c r="H239" s="106">
        <v>23000.0</v>
      </c>
    </row>
    <row r="240">
      <c r="A240" s="127"/>
      <c r="B240" s="107"/>
      <c r="C240" s="126"/>
      <c r="F240" s="106" t="s">
        <v>205</v>
      </c>
      <c r="H240">
        <f>43.17*960/2</f>
        <v>20721.6</v>
      </c>
    </row>
    <row r="241">
      <c r="A241" s="127"/>
      <c r="B241" s="107"/>
      <c r="C241" s="126"/>
      <c r="F241" s="124" t="s">
        <v>206</v>
      </c>
      <c r="G241" s="107"/>
      <c r="H241" s="125">
        <f>7.4*960/2</f>
        <v>3552</v>
      </c>
    </row>
    <row r="242">
      <c r="A242" s="127"/>
      <c r="B242" s="107"/>
      <c r="C242" s="126"/>
      <c r="F242" s="124" t="s">
        <v>112</v>
      </c>
      <c r="G242" s="107"/>
      <c r="H242" s="126">
        <f>28*960</f>
        <v>26880</v>
      </c>
    </row>
    <row r="243">
      <c r="A243" s="127"/>
      <c r="B243" s="107"/>
      <c r="C243" s="126"/>
      <c r="F243" s="124" t="s">
        <v>207</v>
      </c>
      <c r="G243" s="107"/>
      <c r="H243" s="126">
        <f>11.44*960*2</f>
        <v>21964.8</v>
      </c>
    </row>
    <row r="244">
      <c r="A244" s="127"/>
      <c r="B244" s="107"/>
      <c r="C244" s="126"/>
      <c r="F244" s="124" t="s">
        <v>208</v>
      </c>
      <c r="G244" s="107"/>
      <c r="H244" s="126">
        <f>10.28*960</f>
        <v>9868.8</v>
      </c>
    </row>
    <row r="245">
      <c r="A245" s="127"/>
      <c r="B245" s="107"/>
      <c r="C245" s="126"/>
      <c r="F245" s="124" t="s">
        <v>209</v>
      </c>
      <c r="G245" s="107"/>
      <c r="H245" s="126">
        <f>68.25*960</f>
        <v>65520</v>
      </c>
    </row>
    <row r="246">
      <c r="A246" s="127"/>
      <c r="B246" s="107"/>
      <c r="C246" s="126"/>
      <c r="F246" s="124" t="s">
        <v>210</v>
      </c>
      <c r="G246" s="107"/>
      <c r="H246" s="126">
        <f>3.25*960</f>
        <v>3120</v>
      </c>
    </row>
    <row r="247">
      <c r="A247" s="127"/>
      <c r="B247" s="107"/>
      <c r="C247" s="126"/>
      <c r="F247" s="124" t="s">
        <v>211</v>
      </c>
      <c r="G247" s="107"/>
      <c r="H247" s="126">
        <f>5.68*960</f>
        <v>5452.8</v>
      </c>
    </row>
    <row r="248">
      <c r="A248" s="127"/>
      <c r="B248" s="107"/>
      <c r="C248" s="126"/>
      <c r="F248" s="124" t="s">
        <v>212</v>
      </c>
      <c r="G248" s="107"/>
      <c r="H248" s="126">
        <f>1.17*960</f>
        <v>1123.2</v>
      </c>
    </row>
    <row r="249">
      <c r="A249" s="127"/>
      <c r="B249" s="107"/>
      <c r="C249" s="126"/>
      <c r="F249" s="124" t="s">
        <v>213</v>
      </c>
      <c r="G249" s="107"/>
      <c r="H249" s="125">
        <v>24000.0</v>
      </c>
    </row>
    <row r="250">
      <c r="A250" s="127"/>
      <c r="B250" s="107"/>
      <c r="C250" s="126"/>
      <c r="F250" s="135" t="s">
        <v>214</v>
      </c>
      <c r="G250" s="130"/>
      <c r="H250" s="125">
        <v>6000.0</v>
      </c>
    </row>
    <row r="251">
      <c r="A251" s="127"/>
      <c r="B251" s="107"/>
      <c r="C251" s="126"/>
      <c r="F251" s="135" t="s">
        <v>215</v>
      </c>
      <c r="G251" s="136">
        <v>41000.0</v>
      </c>
      <c r="H251" s="126"/>
    </row>
    <row r="252">
      <c r="A252" s="127"/>
      <c r="B252" s="107"/>
      <c r="C252" s="126"/>
      <c r="F252" s="135" t="s">
        <v>216</v>
      </c>
      <c r="G252" s="130"/>
      <c r="H252" s="125">
        <v>18000.0</v>
      </c>
    </row>
    <row r="253">
      <c r="A253" s="127"/>
      <c r="B253" s="107"/>
      <c r="C253" s="126"/>
      <c r="F253" s="135" t="s">
        <v>217</v>
      </c>
      <c r="G253" s="136">
        <v>24099.0</v>
      </c>
      <c r="H253" s="126"/>
    </row>
    <row r="254">
      <c r="A254" s="127"/>
      <c r="B254" s="107"/>
      <c r="C254" s="126"/>
      <c r="F254" s="129" t="s">
        <v>205</v>
      </c>
      <c r="G254" s="130"/>
      <c r="H254" s="125">
        <v>10000.0</v>
      </c>
    </row>
    <row r="255">
      <c r="A255" s="127"/>
      <c r="B255" s="107"/>
      <c r="C255" s="126"/>
      <c r="F255" s="129" t="s">
        <v>218</v>
      </c>
      <c r="G255" s="130"/>
      <c r="H255" s="125">
        <v>48000.0</v>
      </c>
    </row>
    <row r="256">
      <c r="A256" s="127"/>
      <c r="B256" s="107"/>
      <c r="C256" s="126"/>
      <c r="F256" s="124" t="s">
        <v>219</v>
      </c>
      <c r="G256" s="107"/>
      <c r="H256" s="125">
        <v>14000.0</v>
      </c>
    </row>
    <row r="257">
      <c r="A257" s="127"/>
      <c r="B257" s="107"/>
      <c r="C257" s="126"/>
      <c r="F257" s="127" t="s">
        <v>220</v>
      </c>
      <c r="G257" s="107"/>
      <c r="H257" s="126">
        <v>26584.9435</v>
      </c>
    </row>
    <row r="258">
      <c r="A258" s="127"/>
      <c r="B258" s="107"/>
      <c r="C258" s="126"/>
      <c r="F258" s="127" t="s">
        <v>165</v>
      </c>
      <c r="G258" s="107"/>
      <c r="H258" s="126">
        <v>33229.9995</v>
      </c>
    </row>
    <row r="259">
      <c r="A259" s="127"/>
      <c r="B259" s="107"/>
      <c r="C259" s="126"/>
      <c r="F259" s="127" t="s">
        <v>221</v>
      </c>
      <c r="G259" s="107"/>
      <c r="H259" s="126">
        <v>34452.350000000006</v>
      </c>
    </row>
    <row r="260">
      <c r="A260" s="127"/>
      <c r="B260" s="107"/>
      <c r="C260" s="126"/>
      <c r="F260" s="127" t="s">
        <v>222</v>
      </c>
      <c r="G260" s="107"/>
      <c r="H260" s="125">
        <v>10500.0</v>
      </c>
    </row>
    <row r="261">
      <c r="A261" s="127"/>
      <c r="B261" s="107"/>
      <c r="C261" s="126"/>
      <c r="F261" s="124" t="s">
        <v>223</v>
      </c>
      <c r="G261" s="107"/>
      <c r="H261" s="125">
        <v>5600.0</v>
      </c>
    </row>
    <row r="262">
      <c r="A262" s="127"/>
      <c r="B262" s="107"/>
      <c r="C262" s="126"/>
      <c r="F262" s="124" t="s">
        <v>224</v>
      </c>
      <c r="G262" s="107"/>
      <c r="H262" s="125">
        <v>13000.0</v>
      </c>
    </row>
    <row r="263">
      <c r="A263" s="127"/>
      <c r="B263" s="107"/>
      <c r="C263" s="126"/>
      <c r="F263" s="124" t="s">
        <v>225</v>
      </c>
      <c r="G263" s="107"/>
      <c r="H263" s="125">
        <v>12000.0</v>
      </c>
    </row>
    <row r="264">
      <c r="A264" s="127"/>
      <c r="B264" s="107"/>
      <c r="C264" s="126"/>
      <c r="F264" s="124" t="s">
        <v>39</v>
      </c>
      <c r="G264" s="107"/>
      <c r="H264" s="126">
        <f>14/3*K220</f>
        <v>0</v>
      </c>
    </row>
    <row r="265">
      <c r="A265" s="127"/>
      <c r="B265" s="107"/>
      <c r="C265" s="126"/>
      <c r="F265" s="127" t="s">
        <v>226</v>
      </c>
      <c r="G265" s="107"/>
      <c r="H265" s="126">
        <f>43270.80325</f>
        <v>43270.80325</v>
      </c>
    </row>
    <row r="266">
      <c r="A266" s="127"/>
      <c r="B266" s="107"/>
      <c r="C266" s="126"/>
      <c r="F266" s="127" t="s">
        <v>212</v>
      </c>
      <c r="G266" s="107"/>
      <c r="H266" s="126">
        <v>2751.3227500000003</v>
      </c>
    </row>
    <row r="267">
      <c r="A267" s="127"/>
      <c r="B267" s="107"/>
      <c r="C267" s="126"/>
      <c r="F267" s="127" t="s">
        <v>205</v>
      </c>
      <c r="G267" s="107"/>
      <c r="H267" s="126">
        <v>2090.62775</v>
      </c>
    </row>
    <row r="268">
      <c r="A268" s="127"/>
      <c r="B268" s="107"/>
      <c r="C268" s="126"/>
      <c r="F268" s="124" t="s">
        <v>227</v>
      </c>
      <c r="G268" s="107"/>
      <c r="H268" s="125">
        <v>36000.0</v>
      </c>
    </row>
    <row r="269">
      <c r="A269" s="127"/>
      <c r="B269" s="107"/>
      <c r="C269" s="126"/>
      <c r="F269" s="124" t="s">
        <v>228</v>
      </c>
      <c r="G269" s="107"/>
      <c r="H269" s="128">
        <v>21444.272</v>
      </c>
    </row>
    <row r="270">
      <c r="A270" s="127"/>
      <c r="B270" s="107"/>
      <c r="C270" s="126"/>
      <c r="F270" s="124" t="s">
        <v>229</v>
      </c>
      <c r="G270" s="107"/>
      <c r="H270" s="125">
        <v>7000.0</v>
      </c>
    </row>
    <row r="271">
      <c r="A271" s="127"/>
      <c r="B271" s="107"/>
      <c r="C271" s="126"/>
      <c r="F271" s="124" t="s">
        <v>230</v>
      </c>
      <c r="G271" s="107"/>
      <c r="H271" s="125">
        <v>16500.0</v>
      </c>
    </row>
    <row r="272">
      <c r="A272" s="127"/>
      <c r="B272" s="107"/>
      <c r="C272" s="126"/>
      <c r="F272" s="124" t="s">
        <v>231</v>
      </c>
      <c r="G272" s="107"/>
      <c r="H272" s="126">
        <v>20042.65475</v>
      </c>
    </row>
    <row r="273">
      <c r="A273" s="127"/>
      <c r="B273" s="107"/>
      <c r="C273" s="126"/>
      <c r="F273" s="124" t="s">
        <v>232</v>
      </c>
      <c r="G273" s="107"/>
      <c r="H273" s="125">
        <v>9000.0</v>
      </c>
    </row>
    <row r="274">
      <c r="A274" s="127"/>
      <c r="B274" s="107"/>
      <c r="C274" s="126"/>
      <c r="F274" s="124" t="s">
        <v>233</v>
      </c>
      <c r="G274" s="107"/>
      <c r="H274" s="125">
        <v>19000.0</v>
      </c>
    </row>
    <row r="275">
      <c r="A275" s="127"/>
      <c r="B275" s="107"/>
      <c r="C275" s="126"/>
      <c r="F275" s="124" t="s">
        <v>234</v>
      </c>
      <c r="G275" s="107"/>
      <c r="H275" s="125">
        <v>3500.0</v>
      </c>
    </row>
    <row r="276">
      <c r="A276" s="127"/>
      <c r="B276" s="107"/>
      <c r="C276" s="126"/>
      <c r="F276" s="129" t="s">
        <v>235</v>
      </c>
      <c r="G276" s="130"/>
      <c r="H276" s="126">
        <f>27.79*2*K220</f>
        <v>0</v>
      </c>
    </row>
    <row r="277">
      <c r="A277" s="127"/>
      <c r="B277" s="107"/>
      <c r="C277" s="126"/>
      <c r="F277" s="129" t="s">
        <v>236</v>
      </c>
      <c r="G277" s="130"/>
      <c r="H277" s="130">
        <f>57.18/2*K220</f>
        <v>0</v>
      </c>
    </row>
    <row r="278">
      <c r="A278" s="127"/>
      <c r="B278" s="107"/>
      <c r="C278" s="126"/>
      <c r="F278" s="129" t="s">
        <v>112</v>
      </c>
      <c r="G278" s="131"/>
      <c r="H278" s="131">
        <f>29.25/2*K220</f>
        <v>0</v>
      </c>
    </row>
    <row r="279">
      <c r="A279" s="127"/>
      <c r="B279" s="107"/>
      <c r="C279" s="126"/>
      <c r="F279" s="129" t="s">
        <v>237</v>
      </c>
      <c r="G279" s="131"/>
      <c r="H279" s="131">
        <f>14*K220</f>
        <v>0</v>
      </c>
    </row>
    <row r="280">
      <c r="A280" s="127"/>
      <c r="B280" s="107"/>
      <c r="C280" s="126"/>
      <c r="F280" s="106" t="s">
        <v>165</v>
      </c>
      <c r="H280">
        <f>109.81*K220/2</f>
        <v>0</v>
      </c>
    </row>
    <row r="281">
      <c r="A281" s="127"/>
      <c r="B281" s="107"/>
      <c r="C281" s="126"/>
      <c r="F281" s="124" t="s">
        <v>238</v>
      </c>
      <c r="G281" s="107"/>
      <c r="H281" s="102">
        <v>12000.0</v>
      </c>
    </row>
    <row r="282">
      <c r="A282" s="127"/>
      <c r="B282" s="107"/>
      <c r="C282" s="126"/>
      <c r="F282" s="124" t="s">
        <v>239</v>
      </c>
      <c r="G282" s="107"/>
      <c r="H282" s="125">
        <v>21213.0</v>
      </c>
    </row>
    <row r="283">
      <c r="A283" s="127"/>
      <c r="B283" s="107"/>
      <c r="C283" s="126"/>
      <c r="F283" s="124" t="s">
        <v>240</v>
      </c>
      <c r="G283" s="107"/>
      <c r="H283" s="125">
        <v>15000.0</v>
      </c>
    </row>
    <row r="284">
      <c r="A284" s="127"/>
      <c r="B284" s="107"/>
      <c r="C284" s="126"/>
      <c r="F284" s="129" t="s">
        <v>241</v>
      </c>
      <c r="G284" s="130"/>
      <c r="H284" s="126">
        <f>17.14*K220*2</f>
        <v>0</v>
      </c>
    </row>
    <row r="285">
      <c r="A285" s="127"/>
      <c r="B285" s="107"/>
      <c r="C285" s="126"/>
      <c r="F285" s="124" t="s">
        <v>242</v>
      </c>
      <c r="G285" s="107"/>
      <c r="H285" s="126">
        <f>53/2*K220</f>
        <v>0</v>
      </c>
    </row>
    <row r="286">
      <c r="A286" s="127"/>
      <c r="B286" s="107"/>
      <c r="C286" s="126"/>
      <c r="F286" s="127" t="s">
        <v>243</v>
      </c>
      <c r="G286" s="107"/>
      <c r="H286" s="126">
        <v>34059.52</v>
      </c>
    </row>
    <row r="287">
      <c r="A287" s="127"/>
      <c r="B287" s="107"/>
      <c r="C287" s="126"/>
      <c r="F287" s="124" t="s">
        <v>197</v>
      </c>
      <c r="G287" s="107"/>
      <c r="H287" s="126">
        <f>217/2*K220</f>
        <v>0</v>
      </c>
    </row>
    <row r="288">
      <c r="A288" s="127"/>
      <c r="B288" s="107"/>
      <c r="C288" s="126"/>
      <c r="F288" s="124" t="s">
        <v>244</v>
      </c>
      <c r="G288" s="107"/>
      <c r="H288" s="125">
        <v>13000.0</v>
      </c>
    </row>
    <row r="289">
      <c r="A289" s="127"/>
      <c r="B289" s="107"/>
      <c r="C289" s="126"/>
      <c r="F289" s="129" t="s">
        <v>245</v>
      </c>
      <c r="G289" s="130"/>
      <c r="H289" s="126">
        <v>16693.333860594998</v>
      </c>
    </row>
    <row r="290">
      <c r="A290" s="127"/>
      <c r="B290" s="107"/>
      <c r="C290" s="126"/>
      <c r="F290" s="124" t="s">
        <v>246</v>
      </c>
      <c r="G290" s="107"/>
      <c r="H290" s="126">
        <f>121*K220</f>
        <v>0</v>
      </c>
    </row>
    <row r="291">
      <c r="A291" s="127"/>
      <c r="B291" s="107"/>
      <c r="C291" s="126"/>
      <c r="F291" s="129" t="s">
        <v>198</v>
      </c>
      <c r="G291" s="130"/>
      <c r="H291" s="126">
        <f>9.55*2*K220</f>
        <v>0</v>
      </c>
    </row>
    <row r="292">
      <c r="A292" s="127"/>
      <c r="B292" s="107"/>
      <c r="C292" s="126"/>
      <c r="F292" s="127"/>
      <c r="G292" s="107"/>
      <c r="H292" s="126"/>
    </row>
    <row r="293">
      <c r="A293" s="127"/>
      <c r="B293" s="107"/>
      <c r="C293" s="126"/>
      <c r="E293" s="106" t="s">
        <v>247</v>
      </c>
      <c r="F293" s="106" t="s">
        <v>116</v>
      </c>
      <c r="G293" s="106">
        <v>68161.0</v>
      </c>
    </row>
    <row r="294">
      <c r="A294" s="127"/>
      <c r="B294" s="107"/>
      <c r="C294" s="126"/>
      <c r="F294" s="106" t="s">
        <v>181</v>
      </c>
      <c r="H294" s="106">
        <v>61000.0</v>
      </c>
    </row>
    <row r="295">
      <c r="A295" s="127"/>
      <c r="B295" s="107"/>
      <c r="C295" s="126"/>
      <c r="F295" s="106" t="s">
        <v>41</v>
      </c>
      <c r="H295" s="106">
        <v>12000.0</v>
      </c>
    </row>
    <row r="296">
      <c r="A296" s="127"/>
      <c r="B296" s="107"/>
      <c r="C296" s="126"/>
      <c r="F296" s="106" t="s">
        <v>248</v>
      </c>
      <c r="H296" s="106">
        <v>30690.0</v>
      </c>
    </row>
    <row r="297">
      <c r="A297" s="127"/>
      <c r="B297" s="107"/>
      <c r="C297" s="126"/>
      <c r="F297" s="106" t="s">
        <v>112</v>
      </c>
      <c r="H297" s="106">
        <v>28000.0</v>
      </c>
    </row>
    <row r="298">
      <c r="A298" s="127"/>
      <c r="B298" s="107"/>
      <c r="C298" s="126"/>
    </row>
    <row r="299">
      <c r="A299" s="127"/>
      <c r="B299" s="107"/>
      <c r="C299" s="126"/>
      <c r="E299" s="106" t="s">
        <v>249</v>
      </c>
      <c r="F299" s="106" t="s">
        <v>58</v>
      </c>
      <c r="H299" s="106">
        <v>26000.0</v>
      </c>
    </row>
    <row r="300">
      <c r="A300" s="127"/>
      <c r="B300" s="107"/>
      <c r="C300" s="126"/>
      <c r="F300" s="106" t="s">
        <v>240</v>
      </c>
      <c r="H300" s="106">
        <v>15000.0</v>
      </c>
    </row>
    <row r="301">
      <c r="A301" s="127"/>
      <c r="B301" s="107"/>
      <c r="C301" s="126"/>
      <c r="F301" s="106" t="s">
        <v>250</v>
      </c>
      <c r="H301" s="106">
        <v>5000.0</v>
      </c>
    </row>
    <row r="302">
      <c r="A302" s="127"/>
      <c r="B302" s="107"/>
      <c r="C302" s="126"/>
      <c r="F302" s="106" t="s">
        <v>251</v>
      </c>
      <c r="H302" s="106">
        <v>17000.0</v>
      </c>
    </row>
    <row r="303">
      <c r="A303" s="127"/>
      <c r="B303" s="107"/>
      <c r="C303" s="126"/>
      <c r="F303" s="106" t="s">
        <v>252</v>
      </c>
      <c r="G303" s="106">
        <v>40842.0</v>
      </c>
      <c r="H303" s="106"/>
    </row>
    <row r="304">
      <c r="A304" s="127"/>
      <c r="B304" s="107"/>
      <c r="C304" s="126"/>
      <c r="F304" s="106" t="s">
        <v>253</v>
      </c>
      <c r="G304" s="106">
        <v>68187.0</v>
      </c>
    </row>
    <row r="305">
      <c r="A305" s="127"/>
      <c r="B305" s="107"/>
      <c r="C305" s="126"/>
      <c r="F305" s="106" t="s">
        <v>181</v>
      </c>
      <c r="H305" s="106">
        <v>61000.0</v>
      </c>
    </row>
    <row r="306">
      <c r="A306" s="127"/>
      <c r="B306" s="107"/>
      <c r="C306" s="126"/>
      <c r="F306" s="106" t="s">
        <v>254</v>
      </c>
      <c r="G306" s="106">
        <v>30000.0</v>
      </c>
    </row>
    <row r="307">
      <c r="A307" s="127"/>
      <c r="B307" s="107"/>
      <c r="C307" s="126"/>
      <c r="F307" s="106" t="s">
        <v>255</v>
      </c>
      <c r="H307" s="106">
        <v>25000.0</v>
      </c>
    </row>
    <row r="308">
      <c r="A308" s="127"/>
      <c r="B308" s="107"/>
      <c r="C308" s="126"/>
      <c r="F308" s="106" t="s">
        <v>251</v>
      </c>
      <c r="H308" s="106">
        <v>35000.0</v>
      </c>
    </row>
    <row r="309">
      <c r="A309" s="127"/>
      <c r="B309" s="107"/>
      <c r="C309" s="126"/>
      <c r="F309" s="106" t="s">
        <v>256</v>
      </c>
      <c r="H309" s="106">
        <v>19000.0</v>
      </c>
    </row>
    <row r="310">
      <c r="A310" s="127"/>
      <c r="B310" s="107"/>
      <c r="C310" s="126"/>
      <c r="F310" s="106" t="s">
        <v>257</v>
      </c>
      <c r="H310" s="106">
        <v>76830.0</v>
      </c>
    </row>
    <row r="311">
      <c r="A311" s="127"/>
      <c r="B311" s="107"/>
      <c r="C311" s="126"/>
      <c r="F311" s="106" t="s">
        <v>258</v>
      </c>
      <c r="H311" s="106">
        <v>30437.0</v>
      </c>
    </row>
    <row r="312">
      <c r="A312" s="127"/>
      <c r="B312" s="107"/>
      <c r="C312" s="126"/>
      <c r="F312" s="106" t="s">
        <v>259</v>
      </c>
      <c r="H312" s="106">
        <v>28230.0</v>
      </c>
    </row>
    <row r="313">
      <c r="A313" s="127"/>
      <c r="B313" s="107"/>
      <c r="C313" s="126"/>
      <c r="F313" s="106" t="s">
        <v>260</v>
      </c>
      <c r="H313" s="106">
        <v>20800.0</v>
      </c>
    </row>
    <row r="314">
      <c r="A314" s="127"/>
      <c r="B314" s="107"/>
      <c r="C314" s="126"/>
      <c r="F314" s="106" t="s">
        <v>261</v>
      </c>
      <c r="H314" s="106">
        <v>15000.0</v>
      </c>
    </row>
    <row r="315">
      <c r="A315" s="127"/>
      <c r="B315" s="107"/>
      <c r="C315" s="126"/>
      <c r="F315" s="106" t="s">
        <v>262</v>
      </c>
      <c r="H315" s="106">
        <v>19500.0</v>
      </c>
    </row>
    <row r="316">
      <c r="A316" s="127"/>
      <c r="B316" s="107"/>
      <c r="C316" s="126"/>
      <c r="F316" s="106" t="s">
        <v>263</v>
      </c>
      <c r="G316" s="106">
        <v>26000.0</v>
      </c>
    </row>
    <row r="317">
      <c r="A317" s="127"/>
      <c r="B317" s="107"/>
      <c r="C317" s="126"/>
      <c r="F317" s="106" t="s">
        <v>83</v>
      </c>
      <c r="G317" s="106">
        <v>100000.0</v>
      </c>
    </row>
    <row r="318">
      <c r="A318" s="127"/>
      <c r="B318" s="107"/>
      <c r="C318" s="126"/>
      <c r="F318" s="124" t="s">
        <v>264</v>
      </c>
      <c r="G318" s="102">
        <v>5000.0</v>
      </c>
      <c r="H318" s="125"/>
    </row>
    <row r="319">
      <c r="A319" s="127"/>
      <c r="B319" s="107"/>
      <c r="C319" s="126"/>
      <c r="F319" s="124" t="s">
        <v>265</v>
      </c>
      <c r="G319" s="102">
        <v>22700.0</v>
      </c>
      <c r="H319" s="126"/>
    </row>
    <row r="320">
      <c r="A320" s="127"/>
      <c r="B320" s="107"/>
      <c r="C320" s="126"/>
      <c r="F320" s="124" t="s">
        <v>266</v>
      </c>
      <c r="G320" s="107"/>
      <c r="H320" s="125">
        <v>20800.0</v>
      </c>
    </row>
    <row r="321">
      <c r="A321" s="127"/>
      <c r="B321" s="107"/>
      <c r="C321" s="126"/>
    </row>
    <row r="322">
      <c r="A322" s="127"/>
      <c r="B322" s="107"/>
      <c r="C322" s="126"/>
      <c r="E322" s="106" t="s">
        <v>267</v>
      </c>
      <c r="F322" s="106" t="s">
        <v>268</v>
      </c>
      <c r="H322" s="106">
        <v>31880.0</v>
      </c>
    </row>
    <row r="323">
      <c r="A323" s="127"/>
      <c r="B323" s="107"/>
      <c r="C323" s="126"/>
      <c r="F323" s="106" t="s">
        <v>116</v>
      </c>
      <c r="G323" s="106">
        <v>68378.0</v>
      </c>
    </row>
    <row r="324">
      <c r="A324" s="127"/>
      <c r="B324" s="107"/>
      <c r="C324" s="126"/>
      <c r="F324" s="106" t="s">
        <v>269</v>
      </c>
      <c r="H324" s="106">
        <v>100000.0</v>
      </c>
    </row>
    <row r="325">
      <c r="A325" s="127"/>
      <c r="B325" s="107"/>
      <c r="C325" s="126"/>
      <c r="F325" s="106" t="s">
        <v>270</v>
      </c>
      <c r="G325" s="106">
        <v>36272.0</v>
      </c>
    </row>
    <row r="326">
      <c r="A326" s="127"/>
      <c r="B326" s="107"/>
      <c r="C326" s="126"/>
      <c r="F326" s="106" t="s">
        <v>271</v>
      </c>
      <c r="G326" s="106">
        <v>38970.0</v>
      </c>
    </row>
    <row r="327">
      <c r="A327" s="127"/>
      <c r="B327" s="107"/>
      <c r="C327" s="126"/>
      <c r="F327" s="106" t="s">
        <v>272</v>
      </c>
      <c r="H327" s="106">
        <v>29000.0</v>
      </c>
    </row>
    <row r="328">
      <c r="A328" s="127"/>
      <c r="B328" s="107"/>
      <c r="C328" s="126"/>
      <c r="F328" s="106" t="s">
        <v>273</v>
      </c>
      <c r="H328" s="106">
        <v>25600.0</v>
      </c>
    </row>
    <row r="329">
      <c r="A329" s="127"/>
      <c r="B329" s="107"/>
      <c r="C329" s="126"/>
      <c r="F329" s="106" t="s">
        <v>274</v>
      </c>
      <c r="H329" s="106">
        <v>95000.0</v>
      </c>
    </row>
    <row r="330">
      <c r="A330" s="127"/>
      <c r="B330" s="107"/>
      <c r="C330" s="126"/>
      <c r="F330" s="106" t="s">
        <v>275</v>
      </c>
      <c r="H330" s="106">
        <v>15000.0</v>
      </c>
    </row>
    <row r="331">
      <c r="A331" s="127"/>
      <c r="B331" s="107"/>
      <c r="C331" s="126"/>
      <c r="F331" s="106" t="s">
        <v>144</v>
      </c>
      <c r="H331" s="106">
        <v>14000.0</v>
      </c>
    </row>
    <row r="332">
      <c r="A332" s="127"/>
      <c r="B332" s="107"/>
      <c r="C332" s="126"/>
      <c r="F332" s="106" t="s">
        <v>276</v>
      </c>
      <c r="H332" s="106">
        <v>13390.0</v>
      </c>
    </row>
    <row r="333">
      <c r="A333" s="127"/>
      <c r="B333" s="107"/>
      <c r="C333" s="126"/>
      <c r="F333" s="106" t="s">
        <v>277</v>
      </c>
      <c r="G333" s="106">
        <v>8400.0</v>
      </c>
    </row>
    <row r="334">
      <c r="A334" s="127"/>
      <c r="B334" s="107"/>
      <c r="C334" s="126"/>
      <c r="F334" s="106" t="s">
        <v>278</v>
      </c>
      <c r="H334" s="106">
        <v>57000.0</v>
      </c>
    </row>
    <row r="335">
      <c r="A335" s="127"/>
      <c r="B335" s="107"/>
      <c r="C335" s="126"/>
    </row>
    <row r="336">
      <c r="A336" s="127"/>
      <c r="B336" s="107"/>
      <c r="C336" s="126"/>
      <c r="F336" s="106" t="s">
        <v>279</v>
      </c>
      <c r="G336" s="106">
        <v>82928.0</v>
      </c>
    </row>
    <row r="337">
      <c r="A337" s="127"/>
      <c r="B337" s="107"/>
      <c r="C337" s="126"/>
      <c r="F337" s="106" t="s">
        <v>116</v>
      </c>
      <c r="G337" s="106">
        <v>68268.0</v>
      </c>
    </row>
    <row r="338">
      <c r="A338" s="127"/>
      <c r="B338" s="107"/>
      <c r="C338" s="126"/>
      <c r="F338" s="106" t="s">
        <v>138</v>
      </c>
      <c r="G338" s="106"/>
      <c r="H338" s="106">
        <v>24066.0</v>
      </c>
    </row>
    <row r="339">
      <c r="A339" s="127"/>
      <c r="B339" s="107"/>
      <c r="C339" s="126"/>
      <c r="F339" s="106" t="s">
        <v>280</v>
      </c>
      <c r="H339" s="106">
        <v>14000.0</v>
      </c>
    </row>
    <row r="340">
      <c r="A340" s="127"/>
      <c r="B340" s="107"/>
      <c r="C340" s="126"/>
      <c r="F340" s="106" t="s">
        <v>281</v>
      </c>
      <c r="H340" s="106">
        <v>54000.0</v>
      </c>
    </row>
    <row r="341">
      <c r="A341" s="127"/>
      <c r="B341" s="107"/>
      <c r="C341" s="126"/>
      <c r="F341" s="106" t="s">
        <v>282</v>
      </c>
      <c r="H341" s="106">
        <v>29000.0</v>
      </c>
    </row>
    <row r="342">
      <c r="A342" s="127"/>
      <c r="B342" s="107"/>
      <c r="C342" s="126"/>
      <c r="F342" s="106" t="s">
        <v>283</v>
      </c>
      <c r="H342" s="106">
        <v>66990.0</v>
      </c>
    </row>
    <row r="343">
      <c r="A343" s="127"/>
      <c r="B343" s="107"/>
      <c r="C343" s="126"/>
    </row>
    <row r="344">
      <c r="A344" s="127"/>
      <c r="B344" s="107"/>
      <c r="C344" s="126"/>
      <c r="E344" s="106" t="s">
        <v>126</v>
      </c>
      <c r="F344" s="106" t="s">
        <v>284</v>
      </c>
      <c r="G344" s="106">
        <v>72970.0</v>
      </c>
    </row>
    <row r="345">
      <c r="A345" s="127"/>
      <c r="B345" s="107"/>
      <c r="C345" s="126"/>
      <c r="F345" s="106" t="s">
        <v>285</v>
      </c>
      <c r="H345" s="106">
        <v>136000.0</v>
      </c>
    </row>
    <row r="346">
      <c r="A346" s="127"/>
      <c r="B346" s="107"/>
      <c r="C346" s="126"/>
      <c r="F346" s="106" t="s">
        <v>181</v>
      </c>
      <c r="H346" s="106">
        <v>741000.0</v>
      </c>
    </row>
    <row r="347">
      <c r="A347" s="127"/>
      <c r="B347" s="107"/>
      <c r="C347" s="126"/>
      <c r="F347" s="106" t="s">
        <v>138</v>
      </c>
      <c r="H347" s="106">
        <v>21000.0</v>
      </c>
    </row>
    <row r="348">
      <c r="A348" s="127"/>
      <c r="B348" s="107"/>
      <c r="C348" s="126"/>
      <c r="F348" s="106" t="s">
        <v>116</v>
      </c>
      <c r="G348" s="106">
        <v>68498.0</v>
      </c>
    </row>
    <row r="349">
      <c r="A349" s="127"/>
      <c r="B349" s="107"/>
      <c r="C349" s="126"/>
      <c r="F349" s="106" t="s">
        <v>286</v>
      </c>
      <c r="H349" s="106">
        <v>27000.0</v>
      </c>
    </row>
    <row r="350">
      <c r="A350" s="127"/>
      <c r="B350" s="107"/>
      <c r="C350" s="126"/>
      <c r="F350" s="106" t="s">
        <v>287</v>
      </c>
      <c r="H350" s="106">
        <v>58000.0</v>
      </c>
    </row>
    <row r="351">
      <c r="A351" s="127"/>
      <c r="B351" s="107"/>
      <c r="C351" s="126"/>
      <c r="F351" s="106" t="s">
        <v>288</v>
      </c>
      <c r="H351" s="106">
        <v>2623000.0</v>
      </c>
    </row>
    <row r="352">
      <c r="A352" s="127"/>
      <c r="B352" s="107"/>
      <c r="C352" s="126"/>
      <c r="F352" s="106" t="s">
        <v>289</v>
      </c>
      <c r="H352" s="106">
        <v>2022000.0</v>
      </c>
    </row>
    <row r="353">
      <c r="A353" s="127"/>
      <c r="B353" s="107"/>
      <c r="C353" s="126"/>
      <c r="F353" s="106" t="s">
        <v>33</v>
      </c>
      <c r="H353" s="106">
        <v>16580.0</v>
      </c>
    </row>
    <row r="354">
      <c r="A354" s="127"/>
      <c r="B354" s="107"/>
      <c r="C354" s="126"/>
      <c r="F354" s="106" t="s">
        <v>290</v>
      </c>
      <c r="H354" s="106">
        <v>21000.0</v>
      </c>
    </row>
    <row r="355">
      <c r="A355" s="127"/>
      <c r="B355" s="107"/>
      <c r="C355" s="126"/>
      <c r="F355" s="106" t="s">
        <v>291</v>
      </c>
      <c r="H355" s="106">
        <v>770000.0</v>
      </c>
    </row>
    <row r="356">
      <c r="A356" s="127"/>
      <c r="B356" s="107"/>
      <c r="C356" s="126"/>
      <c r="F356" s="106" t="s">
        <v>292</v>
      </c>
      <c r="H356" s="106">
        <v>43000.0</v>
      </c>
    </row>
    <row r="357">
      <c r="A357" s="127"/>
      <c r="B357" s="107"/>
      <c r="C357" s="126"/>
      <c r="F357" s="106" t="s">
        <v>293</v>
      </c>
      <c r="H357" s="106">
        <v>22000.0</v>
      </c>
    </row>
    <row r="358">
      <c r="A358" s="127"/>
      <c r="B358" s="107"/>
      <c r="C358" s="126"/>
      <c r="F358" s="106" t="s">
        <v>294</v>
      </c>
      <c r="H358" s="106">
        <v>37000.0</v>
      </c>
    </row>
    <row r="359">
      <c r="A359" s="127"/>
      <c r="B359" s="107"/>
      <c r="C359" s="126"/>
      <c r="F359" s="106" t="s">
        <v>295</v>
      </c>
      <c r="H359" s="106">
        <v>82000.0</v>
      </c>
    </row>
    <row r="360">
      <c r="A360" s="127"/>
      <c r="B360" s="107"/>
      <c r="C360" s="126"/>
      <c r="F360" s="106" t="s">
        <v>83</v>
      </c>
      <c r="H360" s="106">
        <v>51771.0</v>
      </c>
    </row>
    <row r="361">
      <c r="A361" s="127"/>
      <c r="B361" s="107"/>
      <c r="C361" s="126"/>
      <c r="F361" s="106" t="s">
        <v>296</v>
      </c>
      <c r="H361" s="106">
        <v>753000.0</v>
      </c>
    </row>
    <row r="362">
      <c r="A362" s="127"/>
      <c r="B362" s="107"/>
      <c r="C362" s="126"/>
      <c r="F362" s="106" t="s">
        <v>297</v>
      </c>
      <c r="H362" s="106">
        <v>567000.0</v>
      </c>
    </row>
    <row r="363">
      <c r="A363" s="127"/>
      <c r="B363" s="107"/>
      <c r="C363" s="126"/>
      <c r="F363" s="106" t="s">
        <v>298</v>
      </c>
      <c r="H363" s="106">
        <v>43800.0</v>
      </c>
    </row>
    <row r="364">
      <c r="A364" s="127"/>
      <c r="B364" s="107"/>
      <c r="C364" s="126"/>
      <c r="F364" s="106" t="s">
        <v>299</v>
      </c>
      <c r="H364" s="106">
        <v>253000.0</v>
      </c>
    </row>
    <row r="365">
      <c r="A365" s="127"/>
      <c r="B365" s="107"/>
      <c r="C365" s="126"/>
      <c r="F365" s="106" t="s">
        <v>300</v>
      </c>
      <c r="H365" s="106">
        <v>39000.0</v>
      </c>
    </row>
    <row r="366">
      <c r="A366" s="127"/>
      <c r="B366" s="107"/>
      <c r="C366" s="126"/>
      <c r="F366" s="124" t="s">
        <v>301</v>
      </c>
      <c r="G366" s="107"/>
      <c r="H366" s="125">
        <v>55000.0</v>
      </c>
    </row>
    <row r="367">
      <c r="A367" s="127"/>
      <c r="B367" s="107"/>
      <c r="C367" s="126"/>
      <c r="F367" s="124" t="s">
        <v>268</v>
      </c>
      <c r="G367" s="107"/>
      <c r="H367" s="125">
        <v>23000.0</v>
      </c>
    </row>
    <row r="368">
      <c r="A368" s="127"/>
      <c r="B368" s="107"/>
      <c r="C368" s="126"/>
      <c r="F368" s="124" t="s">
        <v>302</v>
      </c>
      <c r="G368" s="107"/>
      <c r="H368" s="125">
        <v>65530.0</v>
      </c>
    </row>
    <row r="369">
      <c r="A369" s="127"/>
      <c r="B369" s="107"/>
      <c r="C369" s="126"/>
      <c r="F369" s="124" t="s">
        <v>303</v>
      </c>
      <c r="G369" s="107"/>
      <c r="H369" s="125">
        <v>36000.0</v>
      </c>
    </row>
    <row r="370">
      <c r="A370" s="127"/>
      <c r="B370" s="107"/>
      <c r="C370" s="126"/>
      <c r="F370" s="124" t="s">
        <v>304</v>
      </c>
      <c r="G370" s="107"/>
      <c r="H370" s="126">
        <f>82000/5*2</f>
        <v>32800</v>
      </c>
    </row>
    <row r="371">
      <c r="A371" s="127"/>
      <c r="B371" s="107"/>
      <c r="C371" s="126"/>
      <c r="F371" s="124" t="s">
        <v>305</v>
      </c>
      <c r="G371" s="107"/>
      <c r="H371" s="125">
        <v>171000.0</v>
      </c>
    </row>
    <row r="372">
      <c r="A372" s="127"/>
      <c r="B372" s="107"/>
      <c r="C372" s="126"/>
      <c r="F372" s="135" t="s">
        <v>306</v>
      </c>
      <c r="G372" s="130"/>
      <c r="H372" s="125">
        <v>35000.0</v>
      </c>
    </row>
    <row r="373">
      <c r="A373" s="127"/>
      <c r="B373" s="107"/>
      <c r="C373" s="126"/>
      <c r="F373" s="135" t="s">
        <v>307</v>
      </c>
      <c r="G373" s="136"/>
      <c r="H373" s="125">
        <v>375362.0</v>
      </c>
    </row>
    <row r="374">
      <c r="A374" s="127"/>
      <c r="B374" s="107"/>
      <c r="C374" s="126"/>
      <c r="F374" s="135" t="s">
        <v>308</v>
      </c>
      <c r="G374" s="130"/>
      <c r="H374" s="125">
        <v>275000.0</v>
      </c>
    </row>
    <row r="375">
      <c r="A375" s="127"/>
      <c r="B375" s="107"/>
      <c r="C375" s="126"/>
      <c r="F375" s="135" t="s">
        <v>309</v>
      </c>
      <c r="G375" s="136"/>
      <c r="H375" s="125">
        <v>-4306000.0</v>
      </c>
    </row>
    <row r="376">
      <c r="A376" s="127"/>
      <c r="B376" s="107"/>
      <c r="C376" s="126"/>
      <c r="F376" s="135" t="s">
        <v>310</v>
      </c>
      <c r="G376" s="130"/>
      <c r="H376" s="125">
        <v>45000.0</v>
      </c>
    </row>
    <row r="377">
      <c r="A377" s="127"/>
      <c r="B377" s="107"/>
      <c r="C377" s="126"/>
      <c r="F377" s="135" t="s">
        <v>29</v>
      </c>
      <c r="G377" s="130"/>
      <c r="H377" s="125">
        <v>136000.0</v>
      </c>
    </row>
    <row r="378">
      <c r="A378" s="127"/>
      <c r="B378" s="107"/>
      <c r="C378" s="126"/>
      <c r="F378" s="124" t="s">
        <v>306</v>
      </c>
      <c r="G378" s="107"/>
      <c r="H378" s="125">
        <v>4100.0</v>
      </c>
    </row>
    <row r="379">
      <c r="A379" s="127"/>
      <c r="B379" s="107"/>
      <c r="C379" s="126"/>
      <c r="F379" s="124" t="s">
        <v>311</v>
      </c>
      <c r="G379" s="107"/>
      <c r="H379" s="125">
        <v>95600.0</v>
      </c>
    </row>
    <row r="380">
      <c r="A380" s="127"/>
      <c r="B380" s="107"/>
      <c r="C380" s="126"/>
      <c r="F380" s="124" t="s">
        <v>312</v>
      </c>
      <c r="G380" s="107"/>
      <c r="H380" s="125">
        <v>24700.0</v>
      </c>
    </row>
    <row r="381">
      <c r="A381" s="127"/>
      <c r="B381" s="107"/>
      <c r="C381" s="126"/>
      <c r="F381" s="124" t="s">
        <v>313</v>
      </c>
      <c r="G381" s="107"/>
      <c r="H381" s="125">
        <v>47500.0</v>
      </c>
    </row>
    <row r="382">
      <c r="A382" s="127"/>
      <c r="B382" s="107"/>
      <c r="C382" s="126"/>
      <c r="F382" s="124" t="s">
        <v>225</v>
      </c>
      <c r="G382" s="102">
        <v>20790.0</v>
      </c>
      <c r="H382" s="125">
        <v>40000.0</v>
      </c>
    </row>
    <row r="383">
      <c r="A383" s="127"/>
      <c r="B383" s="107"/>
      <c r="C383" s="126"/>
      <c r="F383" s="124"/>
      <c r="G383" s="107"/>
      <c r="H383" s="125"/>
    </row>
    <row r="384">
      <c r="A384" s="127"/>
      <c r="B384" s="107"/>
      <c r="C384" s="126"/>
      <c r="E384" s="106" t="s">
        <v>139</v>
      </c>
      <c r="F384" s="106" t="s">
        <v>314</v>
      </c>
      <c r="G384" s="106">
        <v>24937.0</v>
      </c>
    </row>
    <row r="385">
      <c r="A385" s="127"/>
      <c r="B385" s="107"/>
      <c r="C385" s="126"/>
      <c r="F385" s="106" t="s">
        <v>315</v>
      </c>
      <c r="H385" s="106">
        <v>31000.0</v>
      </c>
    </row>
    <row r="386">
      <c r="A386" s="127"/>
      <c r="B386" s="107"/>
      <c r="C386" s="126"/>
      <c r="F386" s="106" t="s">
        <v>316</v>
      </c>
      <c r="H386" s="106">
        <v>28000.0</v>
      </c>
    </row>
    <row r="387">
      <c r="A387" s="127"/>
      <c r="B387" s="107"/>
      <c r="C387" s="126"/>
      <c r="F387" s="106" t="s">
        <v>317</v>
      </c>
      <c r="H387" s="106">
        <v>71000.0</v>
      </c>
    </row>
    <row r="388">
      <c r="A388" s="127"/>
      <c r="B388" s="107"/>
      <c r="C388" s="126"/>
      <c r="F388" s="106" t="s">
        <v>83</v>
      </c>
      <c r="H388" s="106">
        <v>65800.0</v>
      </c>
    </row>
    <row r="389">
      <c r="A389" s="127"/>
      <c r="B389" s="107"/>
      <c r="C389" s="126"/>
      <c r="F389" s="106" t="s">
        <v>318</v>
      </c>
      <c r="H389" s="106">
        <v>39990.0</v>
      </c>
    </row>
    <row r="390">
      <c r="A390" s="127"/>
      <c r="B390" s="107"/>
      <c r="C390" s="126"/>
      <c r="F390" s="106" t="s">
        <v>112</v>
      </c>
      <c r="H390" s="106">
        <v>42000.0</v>
      </c>
    </row>
    <row r="391">
      <c r="A391" s="127"/>
      <c r="B391" s="107"/>
      <c r="C391" s="126"/>
      <c r="F391" s="106" t="s">
        <v>319</v>
      </c>
      <c r="H391" s="106">
        <v>12472.0</v>
      </c>
    </row>
    <row r="392">
      <c r="A392" s="127"/>
      <c r="B392" s="107"/>
      <c r="C392" s="126"/>
      <c r="F392" s="106" t="s">
        <v>320</v>
      </c>
      <c r="G392" s="106">
        <v>19080.0</v>
      </c>
    </row>
    <row r="393">
      <c r="A393" s="127"/>
      <c r="B393" s="107"/>
      <c r="C393" s="126"/>
      <c r="F393" s="106" t="s">
        <v>321</v>
      </c>
      <c r="H393" s="106">
        <v>46100.0</v>
      </c>
    </row>
    <row r="394">
      <c r="A394" s="127"/>
      <c r="B394" s="107"/>
      <c r="C394" s="126"/>
      <c r="F394" s="106" t="s">
        <v>83</v>
      </c>
      <c r="H394" s="106">
        <v>68000.0</v>
      </c>
    </row>
    <row r="395">
      <c r="A395" s="127"/>
      <c r="B395" s="107"/>
      <c r="C395" s="126"/>
      <c r="F395" s="106" t="s">
        <v>322</v>
      </c>
      <c r="H395" s="106">
        <v>14000.0</v>
      </c>
    </row>
    <row r="396">
      <c r="A396" s="127"/>
      <c r="B396" s="107"/>
      <c r="C396" s="126"/>
      <c r="F396" s="106" t="s">
        <v>323</v>
      </c>
      <c r="H396" s="106">
        <v>21500.0</v>
      </c>
    </row>
    <row r="397">
      <c r="A397" s="127"/>
      <c r="B397" s="107"/>
      <c r="C397" s="126"/>
      <c r="F397" s="106" t="s">
        <v>316</v>
      </c>
      <c r="H397" s="106">
        <v>22000.0</v>
      </c>
    </row>
    <row r="398">
      <c r="A398" s="127"/>
      <c r="B398" s="107"/>
      <c r="C398" s="126"/>
      <c r="F398" s="106" t="s">
        <v>324</v>
      </c>
      <c r="H398" s="106">
        <v>20000.0</v>
      </c>
    </row>
    <row r="399">
      <c r="A399" s="127"/>
      <c r="B399" s="107"/>
      <c r="C399" s="126"/>
      <c r="F399" s="106" t="s">
        <v>253</v>
      </c>
      <c r="G399" s="106">
        <v>68528.0</v>
      </c>
    </row>
    <row r="400">
      <c r="A400" s="127"/>
      <c r="B400" s="107"/>
      <c r="C400" s="126"/>
      <c r="F400" s="106" t="s">
        <v>323</v>
      </c>
      <c r="G400" s="106">
        <v>12000.0</v>
      </c>
    </row>
    <row r="401">
      <c r="A401" s="127"/>
      <c r="B401" s="107"/>
      <c r="C401" s="126"/>
      <c r="F401" s="106" t="s">
        <v>325</v>
      </c>
      <c r="H401" s="106">
        <v>20000.0</v>
      </c>
    </row>
    <row r="402">
      <c r="A402" s="127"/>
      <c r="B402" s="107"/>
      <c r="C402" s="126"/>
    </row>
    <row r="403">
      <c r="A403" s="127"/>
      <c r="B403" s="107"/>
      <c r="C403" s="126"/>
      <c r="E403" s="106" t="s">
        <v>148</v>
      </c>
      <c r="F403" s="106" t="s">
        <v>326</v>
      </c>
      <c r="H403" s="106">
        <v>300000.0</v>
      </c>
    </row>
    <row r="404">
      <c r="A404" s="127"/>
      <c r="B404" s="107"/>
      <c r="C404" s="126"/>
      <c r="F404" s="106" t="s">
        <v>83</v>
      </c>
      <c r="H404" s="106">
        <v>63139.0</v>
      </c>
    </row>
    <row r="405">
      <c r="A405" s="127"/>
      <c r="B405" s="107"/>
      <c r="C405" s="126"/>
      <c r="F405" s="106" t="s">
        <v>327</v>
      </c>
      <c r="H405" s="102">
        <v>162709.0</v>
      </c>
    </row>
    <row r="406">
      <c r="A406" s="127"/>
      <c r="B406" s="107"/>
      <c r="C406" s="126"/>
      <c r="F406" s="106" t="s">
        <v>328</v>
      </c>
      <c r="H406" s="106">
        <v>20000.0</v>
      </c>
    </row>
    <row r="407">
      <c r="A407" s="127"/>
      <c r="B407" s="107"/>
      <c r="C407" s="126"/>
      <c r="F407" s="106" t="s">
        <v>329</v>
      </c>
      <c r="H407" s="106">
        <f>31000+18280</f>
        <v>49280</v>
      </c>
    </row>
    <row r="408">
      <c r="A408" s="127"/>
      <c r="B408" s="107"/>
      <c r="C408" s="126"/>
      <c r="F408" s="106" t="s">
        <v>53</v>
      </c>
      <c r="H408" s="106">
        <v>30000.0</v>
      </c>
    </row>
    <row r="409">
      <c r="A409" s="127"/>
      <c r="B409" s="107"/>
      <c r="C409" s="126"/>
      <c r="F409" s="106" t="s">
        <v>330</v>
      </c>
      <c r="G409" s="106">
        <v>204000.0</v>
      </c>
    </row>
    <row r="410">
      <c r="A410" s="127"/>
      <c r="B410" s="107"/>
      <c r="C410" s="126"/>
      <c r="F410" s="106" t="s">
        <v>331</v>
      </c>
      <c r="G410" s="106">
        <v>12290.0</v>
      </c>
    </row>
    <row r="411">
      <c r="A411" s="127"/>
      <c r="B411" s="107"/>
      <c r="C411" s="126"/>
      <c r="F411" s="106" t="s">
        <v>332</v>
      </c>
      <c r="G411" s="106">
        <v>106000.0</v>
      </c>
    </row>
    <row r="412">
      <c r="A412" s="127"/>
      <c r="B412" s="107"/>
      <c r="C412" s="126"/>
      <c r="F412" s="106" t="s">
        <v>240</v>
      </c>
      <c r="H412" s="106">
        <v>17000.0</v>
      </c>
    </row>
    <row r="413">
      <c r="A413" s="127"/>
      <c r="B413" s="107"/>
      <c r="C413" s="126"/>
      <c r="F413" s="106" t="s">
        <v>333</v>
      </c>
      <c r="H413" s="106">
        <f>3679+1445+3113</f>
        <v>8237</v>
      </c>
    </row>
    <row r="414">
      <c r="A414" s="127"/>
      <c r="B414" s="107"/>
      <c r="C414" s="126"/>
      <c r="F414" s="106" t="s">
        <v>334</v>
      </c>
      <c r="H414" s="106">
        <v>20085.0</v>
      </c>
    </row>
    <row r="415">
      <c r="A415" s="127"/>
      <c r="B415" s="107"/>
      <c r="C415" s="126"/>
      <c r="F415" s="106" t="s">
        <v>29</v>
      </c>
      <c r="H415" s="106">
        <v>14378.0</v>
      </c>
    </row>
    <row r="416">
      <c r="A416" s="127"/>
      <c r="B416" s="107"/>
      <c r="C416" s="126"/>
      <c r="F416" s="106" t="s">
        <v>335</v>
      </c>
      <c r="G416" s="106">
        <v>68528.0</v>
      </c>
    </row>
    <row r="417">
      <c r="A417" s="127"/>
      <c r="B417" s="107"/>
      <c r="C417" s="126"/>
      <c r="F417" s="106" t="s">
        <v>336</v>
      </c>
      <c r="H417" s="106">
        <v>14000.0</v>
      </c>
    </row>
    <row r="418">
      <c r="A418" s="127"/>
      <c r="B418" s="107"/>
      <c r="C418" s="126"/>
      <c r="F418" s="106" t="s">
        <v>337</v>
      </c>
      <c r="H418" s="106">
        <v>11000.0</v>
      </c>
    </row>
    <row r="419">
      <c r="A419" s="127"/>
      <c r="B419" s="107"/>
      <c r="C419" s="126"/>
    </row>
    <row r="420">
      <c r="A420" s="127"/>
      <c r="B420" s="107"/>
      <c r="C420" s="126"/>
      <c r="E420" s="106" t="s">
        <v>266</v>
      </c>
      <c r="F420" s="106" t="s">
        <v>338</v>
      </c>
      <c r="H420" s="106">
        <v>23837.0</v>
      </c>
    </row>
    <row r="421">
      <c r="A421" s="127"/>
      <c r="B421" s="107"/>
      <c r="C421" s="126"/>
      <c r="F421" s="106" t="s">
        <v>339</v>
      </c>
      <c r="H421" s="106">
        <v>100000.0</v>
      </c>
    </row>
    <row r="422">
      <c r="A422" s="127"/>
      <c r="B422" s="107"/>
      <c r="C422" s="126"/>
      <c r="F422" s="106" t="s">
        <v>340</v>
      </c>
      <c r="H422" s="106">
        <v>113000.0</v>
      </c>
    </row>
    <row r="423">
      <c r="A423" s="127"/>
      <c r="B423" s="107"/>
      <c r="C423" s="126"/>
      <c r="F423" s="106" t="s">
        <v>341</v>
      </c>
      <c r="H423" s="106">
        <v>76000.0</v>
      </c>
    </row>
    <row r="424">
      <c r="A424" s="127"/>
      <c r="B424" s="107"/>
      <c r="C424" s="126"/>
      <c r="F424" s="106" t="s">
        <v>41</v>
      </c>
      <c r="H424" s="106">
        <v>9000.0</v>
      </c>
    </row>
    <row r="425">
      <c r="A425" s="127"/>
      <c r="B425" s="107"/>
      <c r="C425" s="126"/>
      <c r="F425" s="106" t="s">
        <v>342</v>
      </c>
      <c r="H425" s="106">
        <v>17749.0</v>
      </c>
    </row>
    <row r="426">
      <c r="A426" s="127"/>
      <c r="B426" s="107"/>
      <c r="C426" s="126"/>
      <c r="F426" s="106" t="s">
        <v>343</v>
      </c>
      <c r="H426" s="106">
        <v>5000.0</v>
      </c>
    </row>
    <row r="427">
      <c r="A427" s="127"/>
      <c r="B427" s="107"/>
      <c r="C427" s="126"/>
      <c r="F427" s="106" t="s">
        <v>114</v>
      </c>
      <c r="H427" s="106">
        <v>29000.0</v>
      </c>
    </row>
    <row r="428">
      <c r="A428" s="127"/>
      <c r="B428" s="107"/>
      <c r="C428" s="126"/>
      <c r="F428" s="106" t="s">
        <v>344</v>
      </c>
      <c r="G428" s="106">
        <v>70084.0</v>
      </c>
    </row>
    <row r="429">
      <c r="A429" s="127"/>
      <c r="B429" s="107"/>
      <c r="C429" s="126"/>
      <c r="F429" s="106" t="s">
        <v>305</v>
      </c>
      <c r="H429" s="106">
        <v>275000.0</v>
      </c>
    </row>
    <row r="430">
      <c r="A430" s="127"/>
      <c r="B430" s="107"/>
      <c r="C430" s="126"/>
      <c r="F430" s="106" t="s">
        <v>311</v>
      </c>
      <c r="H430" s="106">
        <v>92800.0</v>
      </c>
    </row>
    <row r="431">
      <c r="A431" s="127"/>
      <c r="B431" s="107"/>
      <c r="C431" s="126"/>
      <c r="F431" s="106" t="s">
        <v>345</v>
      </c>
      <c r="G431" s="106">
        <v>23000.0</v>
      </c>
    </row>
    <row r="432">
      <c r="A432" s="127"/>
      <c r="B432" s="107"/>
      <c r="C432" s="126"/>
      <c r="F432" s="106" t="s">
        <v>346</v>
      </c>
      <c r="G432" s="106">
        <v>17677.0</v>
      </c>
    </row>
    <row r="433">
      <c r="A433" s="127"/>
      <c r="B433" s="107"/>
      <c r="C433" s="126"/>
      <c r="F433" s="106" t="s">
        <v>347</v>
      </c>
      <c r="H433" s="106">
        <v>150000.0</v>
      </c>
    </row>
    <row r="434">
      <c r="A434" s="127"/>
      <c r="B434" s="107"/>
      <c r="C434" s="126"/>
      <c r="F434" s="106" t="s">
        <v>348</v>
      </c>
      <c r="G434" s="106">
        <v>22580.0</v>
      </c>
      <c r="H434" s="106"/>
    </row>
    <row r="435">
      <c r="A435" s="127"/>
      <c r="B435" s="107"/>
      <c r="C435" s="126"/>
      <c r="F435" s="106" t="s">
        <v>263</v>
      </c>
      <c r="G435" s="106">
        <v>33370.0</v>
      </c>
    </row>
    <row r="436">
      <c r="A436" s="127"/>
      <c r="B436" s="107"/>
      <c r="C436" s="126"/>
      <c r="F436" s="106" t="s">
        <v>349</v>
      </c>
      <c r="H436" s="106">
        <v>11340.0</v>
      </c>
    </row>
    <row r="437">
      <c r="A437" s="127"/>
      <c r="B437" s="107"/>
      <c r="C437" s="126"/>
      <c r="F437" s="106" t="s">
        <v>350</v>
      </c>
      <c r="H437" s="106">
        <v>16500.0</v>
      </c>
    </row>
    <row r="438">
      <c r="A438" s="127"/>
      <c r="B438" s="107"/>
      <c r="C438" s="126"/>
      <c r="F438" s="106" t="s">
        <v>329</v>
      </c>
      <c r="H438" s="106">
        <v>8385.0</v>
      </c>
    </row>
    <row r="439">
      <c r="A439" s="127"/>
      <c r="B439" s="107"/>
      <c r="C439" s="126"/>
      <c r="F439" s="106" t="s">
        <v>328</v>
      </c>
      <c r="H439" s="106">
        <v>20000.0</v>
      </c>
    </row>
    <row r="440">
      <c r="A440" s="127"/>
      <c r="B440" s="107"/>
      <c r="C440" s="126"/>
      <c r="F440" s="106" t="s">
        <v>351</v>
      </c>
      <c r="G440" s="106">
        <v>531928.0</v>
      </c>
    </row>
    <row r="441">
      <c r="A441" s="127"/>
      <c r="B441" s="107"/>
      <c r="C441" s="126"/>
      <c r="F441" s="106" t="s">
        <v>346</v>
      </c>
      <c r="G441" s="106">
        <v>17743.0</v>
      </c>
      <c r="H441" s="106"/>
    </row>
    <row r="442">
      <c r="A442" s="127"/>
      <c r="B442" s="107"/>
      <c r="C442" s="126"/>
      <c r="F442" s="106" t="s">
        <v>352</v>
      </c>
      <c r="H442" s="106">
        <v>193600.0</v>
      </c>
    </row>
    <row r="443">
      <c r="A443" s="127"/>
      <c r="B443" s="107"/>
      <c r="C443" s="126"/>
      <c r="F443" s="106" t="s">
        <v>353</v>
      </c>
      <c r="H443" s="106">
        <v>10000.0</v>
      </c>
    </row>
    <row r="444">
      <c r="A444" s="127"/>
      <c r="B444" s="107"/>
      <c r="C444" s="126"/>
    </row>
    <row r="445">
      <c r="A445" s="127"/>
      <c r="B445" s="107"/>
      <c r="C445" s="126"/>
    </row>
    <row r="446">
      <c r="A446" s="127"/>
      <c r="B446" s="107"/>
      <c r="C446" s="126"/>
    </row>
    <row r="447">
      <c r="A447" s="127"/>
      <c r="B447" s="107"/>
      <c r="C447" s="126"/>
    </row>
    <row r="448">
      <c r="A448" s="127"/>
      <c r="B448" s="107"/>
      <c r="C448" s="126"/>
    </row>
    <row r="449">
      <c r="A449" s="127"/>
      <c r="B449" s="107"/>
      <c r="C449" s="126"/>
    </row>
    <row r="450">
      <c r="A450" s="127"/>
      <c r="B450" s="107"/>
      <c r="C450" s="126"/>
    </row>
    <row r="451">
      <c r="A451" s="127"/>
      <c r="B451" s="107"/>
      <c r="C451" s="126"/>
    </row>
    <row r="452">
      <c r="A452" s="127"/>
      <c r="B452" s="107"/>
      <c r="C452" s="126"/>
    </row>
    <row r="453">
      <c r="A453" s="127"/>
      <c r="B453" s="107"/>
      <c r="C453" s="126"/>
    </row>
    <row r="454">
      <c r="A454" s="127"/>
      <c r="B454" s="107"/>
      <c r="C454" s="126"/>
    </row>
    <row r="455">
      <c r="A455" s="127"/>
      <c r="B455" s="107"/>
      <c r="C455" s="126"/>
    </row>
    <row r="456">
      <c r="A456" s="127"/>
      <c r="B456" s="107"/>
      <c r="C456" s="126"/>
    </row>
    <row r="457">
      <c r="A457" s="127"/>
      <c r="B457" s="107"/>
      <c r="C457" s="126"/>
    </row>
    <row r="458">
      <c r="A458" s="127"/>
      <c r="B458" s="107"/>
      <c r="C458" s="126"/>
    </row>
    <row r="459">
      <c r="A459" s="127"/>
      <c r="B459" s="107"/>
      <c r="C459" s="126"/>
    </row>
    <row r="460">
      <c r="A460" s="127"/>
      <c r="B460" s="107"/>
      <c r="C460" s="126"/>
    </row>
    <row r="461">
      <c r="A461" s="127"/>
      <c r="B461" s="107"/>
      <c r="C461" s="126"/>
    </row>
    <row r="462">
      <c r="A462" s="127"/>
      <c r="B462" s="107"/>
      <c r="C462" s="126"/>
    </row>
    <row r="463">
      <c r="A463" s="127"/>
      <c r="B463" s="107"/>
      <c r="C463" s="126"/>
    </row>
    <row r="464">
      <c r="A464" s="127"/>
      <c r="B464" s="107"/>
      <c r="C464" s="126"/>
    </row>
    <row r="465">
      <c r="A465" s="127"/>
      <c r="B465" s="107"/>
      <c r="C465" s="126"/>
    </row>
    <row r="466">
      <c r="A466" s="127"/>
      <c r="B466" s="107"/>
      <c r="C466" s="126"/>
    </row>
    <row r="467">
      <c r="A467" s="127"/>
      <c r="B467" s="107"/>
      <c r="C467" s="126"/>
    </row>
    <row r="468">
      <c r="A468" s="127"/>
      <c r="B468" s="107"/>
      <c r="C468" s="126"/>
    </row>
    <row r="469">
      <c r="A469" s="127"/>
      <c r="B469" s="107"/>
      <c r="C469" s="126"/>
    </row>
    <row r="470">
      <c r="A470" s="127"/>
      <c r="B470" s="107"/>
      <c r="C470" s="126"/>
    </row>
    <row r="471">
      <c r="A471" s="127"/>
      <c r="B471" s="107"/>
      <c r="C471" s="126"/>
    </row>
    <row r="472">
      <c r="A472" s="127"/>
      <c r="B472" s="107"/>
      <c r="C472" s="126"/>
    </row>
    <row r="473">
      <c r="A473" s="127"/>
      <c r="B473" s="107"/>
      <c r="C473" s="126"/>
    </row>
    <row r="474">
      <c r="A474" s="127"/>
      <c r="B474" s="107"/>
      <c r="C474" s="126"/>
    </row>
    <row r="475">
      <c r="A475" s="127"/>
      <c r="B475" s="107"/>
      <c r="C475" s="126"/>
    </row>
    <row r="476">
      <c r="A476" s="127"/>
      <c r="B476" s="107"/>
      <c r="C476" s="126"/>
    </row>
    <row r="477">
      <c r="A477" s="127"/>
      <c r="B477" s="107"/>
      <c r="C477" s="126"/>
    </row>
    <row r="478">
      <c r="A478" s="127"/>
      <c r="B478" s="107"/>
      <c r="C478" s="126"/>
    </row>
    <row r="479">
      <c r="A479" s="127"/>
      <c r="B479" s="107"/>
      <c r="C479" s="126"/>
    </row>
    <row r="480">
      <c r="A480" s="127"/>
      <c r="B480" s="107"/>
      <c r="C480" s="126"/>
    </row>
    <row r="481">
      <c r="A481" s="127"/>
      <c r="B481" s="107"/>
      <c r="C481" s="126"/>
    </row>
    <row r="482">
      <c r="A482" s="127"/>
      <c r="B482" s="107"/>
      <c r="C482" s="126"/>
    </row>
    <row r="483">
      <c r="A483" s="127"/>
      <c r="B483" s="107"/>
      <c r="C483" s="126"/>
    </row>
    <row r="484">
      <c r="A484" s="127"/>
      <c r="B484" s="107"/>
      <c r="C484" s="126"/>
    </row>
    <row r="485">
      <c r="A485" s="127"/>
      <c r="B485" s="107"/>
      <c r="C485" s="126"/>
    </row>
    <row r="486">
      <c r="A486" s="127"/>
      <c r="B486" s="107"/>
      <c r="C486" s="126"/>
    </row>
    <row r="487">
      <c r="A487" s="127"/>
      <c r="B487" s="107"/>
      <c r="C487" s="126"/>
    </row>
    <row r="488">
      <c r="A488" s="127"/>
      <c r="B488" s="107"/>
      <c r="C488" s="126"/>
    </row>
    <row r="489">
      <c r="A489" s="127"/>
      <c r="B489" s="107"/>
      <c r="C489" s="126"/>
    </row>
    <row r="490">
      <c r="A490" s="127"/>
      <c r="B490" s="107"/>
      <c r="C490" s="126"/>
    </row>
    <row r="491">
      <c r="A491" s="127"/>
      <c r="B491" s="107"/>
      <c r="C491" s="126"/>
    </row>
    <row r="492">
      <c r="A492" s="127"/>
      <c r="B492" s="107"/>
      <c r="C492" s="126"/>
    </row>
    <row r="493">
      <c r="A493" s="127"/>
      <c r="B493" s="107"/>
      <c r="C493" s="126"/>
    </row>
    <row r="494">
      <c r="A494" s="127"/>
      <c r="B494" s="107"/>
      <c r="C494" s="126"/>
    </row>
    <row r="495">
      <c r="A495" s="127"/>
      <c r="B495" s="107"/>
      <c r="C495" s="126"/>
    </row>
    <row r="496">
      <c r="A496" s="127"/>
      <c r="B496" s="107"/>
      <c r="C496" s="126"/>
    </row>
    <row r="497">
      <c r="A497" s="127"/>
      <c r="B497" s="107"/>
      <c r="C497" s="126"/>
    </row>
    <row r="498">
      <c r="A498" s="127"/>
      <c r="B498" s="107"/>
      <c r="C498" s="126"/>
    </row>
    <row r="499">
      <c r="A499" s="127"/>
      <c r="B499" s="107"/>
      <c r="C499" s="126"/>
    </row>
    <row r="500">
      <c r="A500" s="127"/>
      <c r="B500" s="107"/>
      <c r="C500" s="126"/>
    </row>
    <row r="501">
      <c r="A501" s="127"/>
      <c r="B501" s="107"/>
      <c r="C501" s="126"/>
    </row>
    <row r="502">
      <c r="A502" s="127"/>
      <c r="B502" s="107"/>
      <c r="C502" s="126"/>
    </row>
    <row r="503">
      <c r="A503" s="127"/>
      <c r="B503" s="107"/>
      <c r="C503" s="126"/>
    </row>
    <row r="504">
      <c r="A504" s="127"/>
      <c r="B504" s="107"/>
      <c r="C504" s="126"/>
    </row>
    <row r="505">
      <c r="A505" s="127"/>
      <c r="B505" s="107"/>
      <c r="C505" s="126"/>
    </row>
    <row r="506">
      <c r="A506" s="127"/>
      <c r="B506" s="107"/>
      <c r="C506" s="126"/>
    </row>
    <row r="507">
      <c r="A507" s="127"/>
      <c r="B507" s="107"/>
      <c r="C507" s="126"/>
    </row>
    <row r="508">
      <c r="A508" s="127"/>
      <c r="B508" s="107"/>
      <c r="C508" s="126"/>
    </row>
    <row r="509">
      <c r="A509" s="127"/>
      <c r="B509" s="107"/>
      <c r="C509" s="126"/>
    </row>
    <row r="510">
      <c r="A510" s="127"/>
      <c r="B510" s="107"/>
      <c r="C510" s="126"/>
    </row>
    <row r="511">
      <c r="A511" s="127"/>
      <c r="B511" s="107"/>
      <c r="C511" s="126"/>
    </row>
    <row r="512">
      <c r="A512" s="127"/>
      <c r="B512" s="107"/>
      <c r="C512" s="126"/>
    </row>
    <row r="513">
      <c r="A513" s="127"/>
      <c r="B513" s="107"/>
      <c r="C513" s="126"/>
    </row>
    <row r="514">
      <c r="A514" s="127"/>
      <c r="B514" s="107"/>
      <c r="C514" s="126"/>
    </row>
    <row r="515">
      <c r="A515" s="127"/>
      <c r="B515" s="107"/>
      <c r="C515" s="126"/>
    </row>
    <row r="516">
      <c r="A516" s="127"/>
      <c r="B516" s="107"/>
      <c r="C516" s="126"/>
    </row>
    <row r="517">
      <c r="A517" s="127"/>
      <c r="B517" s="107"/>
      <c r="C517" s="126"/>
    </row>
    <row r="518">
      <c r="A518" s="127"/>
      <c r="B518" s="107"/>
      <c r="C518" s="126"/>
    </row>
    <row r="519">
      <c r="A519" s="127"/>
      <c r="B519" s="107"/>
      <c r="C519" s="126"/>
    </row>
    <row r="520">
      <c r="A520" s="127"/>
      <c r="B520" s="107"/>
      <c r="C520" s="126"/>
    </row>
    <row r="521">
      <c r="A521" s="127"/>
      <c r="B521" s="107"/>
      <c r="C521" s="126"/>
    </row>
    <row r="522">
      <c r="A522" s="127"/>
      <c r="B522" s="107"/>
      <c r="C522" s="126"/>
    </row>
    <row r="523">
      <c r="A523" s="127"/>
      <c r="B523" s="107"/>
      <c r="C523" s="126"/>
    </row>
    <row r="524">
      <c r="A524" s="127"/>
      <c r="B524" s="107"/>
      <c r="C524" s="126"/>
    </row>
    <row r="525">
      <c r="A525" s="127"/>
      <c r="B525" s="107"/>
      <c r="C525" s="126"/>
    </row>
    <row r="526">
      <c r="A526" s="127"/>
      <c r="B526" s="107"/>
      <c r="C526" s="126"/>
    </row>
    <row r="527">
      <c r="A527" s="127"/>
      <c r="B527" s="107"/>
      <c r="C527" s="126"/>
    </row>
    <row r="528">
      <c r="A528" s="127"/>
      <c r="B528" s="107"/>
      <c r="C528" s="126"/>
    </row>
    <row r="529">
      <c r="A529" s="127"/>
      <c r="B529" s="107"/>
      <c r="C529" s="126"/>
    </row>
    <row r="530">
      <c r="A530" s="127"/>
      <c r="B530" s="107"/>
      <c r="C530" s="126"/>
    </row>
    <row r="531">
      <c r="A531" s="127"/>
      <c r="B531" s="107"/>
      <c r="C531" s="126"/>
    </row>
    <row r="532">
      <c r="A532" s="127"/>
      <c r="B532" s="107"/>
      <c r="C532" s="126"/>
    </row>
    <row r="533">
      <c r="A533" s="127"/>
      <c r="B533" s="107"/>
      <c r="C533" s="126"/>
    </row>
    <row r="534">
      <c r="A534" s="127"/>
      <c r="B534" s="107"/>
      <c r="C534" s="126"/>
    </row>
    <row r="535">
      <c r="A535" s="127"/>
      <c r="B535" s="107"/>
      <c r="C535" s="126"/>
    </row>
    <row r="536">
      <c r="A536" s="127"/>
      <c r="B536" s="107"/>
      <c r="C536" s="126"/>
    </row>
    <row r="537">
      <c r="A537" s="127"/>
      <c r="B537" s="107"/>
      <c r="C537" s="126"/>
    </row>
    <row r="538">
      <c r="A538" s="127"/>
      <c r="B538" s="107"/>
      <c r="C538" s="126"/>
    </row>
    <row r="539">
      <c r="A539" s="127"/>
      <c r="B539" s="107"/>
      <c r="C539" s="126"/>
    </row>
    <row r="540">
      <c r="A540" s="127"/>
      <c r="B540" s="107"/>
      <c r="C540" s="126"/>
    </row>
    <row r="541">
      <c r="A541" s="127"/>
      <c r="B541" s="107"/>
      <c r="C541" s="126"/>
    </row>
    <row r="542">
      <c r="A542" s="127"/>
      <c r="B542" s="107"/>
      <c r="C542" s="126"/>
    </row>
    <row r="543">
      <c r="A543" s="127"/>
      <c r="B543" s="107"/>
      <c r="C543" s="126"/>
    </row>
    <row r="544">
      <c r="A544" s="127"/>
      <c r="B544" s="107"/>
      <c r="C544" s="126"/>
    </row>
    <row r="545">
      <c r="A545" s="127"/>
      <c r="B545" s="107"/>
      <c r="C545" s="126"/>
    </row>
    <row r="546">
      <c r="A546" s="127"/>
      <c r="B546" s="107"/>
      <c r="C546" s="126"/>
    </row>
    <row r="547">
      <c r="A547" s="127"/>
      <c r="B547" s="107"/>
      <c r="C547" s="126"/>
    </row>
    <row r="548">
      <c r="A548" s="127"/>
      <c r="B548" s="107"/>
      <c r="C548" s="126"/>
    </row>
    <row r="549">
      <c r="A549" s="127"/>
      <c r="B549" s="107"/>
      <c r="C549" s="126"/>
    </row>
    <row r="550">
      <c r="A550" s="127"/>
      <c r="B550" s="107"/>
      <c r="C550" s="126"/>
    </row>
    <row r="551">
      <c r="A551" s="127"/>
      <c r="B551" s="107"/>
      <c r="C551" s="126"/>
    </row>
    <row r="552">
      <c r="A552" s="127"/>
      <c r="B552" s="107"/>
      <c r="C552" s="126"/>
    </row>
    <row r="553">
      <c r="A553" s="127"/>
      <c r="B553" s="107"/>
      <c r="C553" s="126"/>
    </row>
    <row r="554">
      <c r="A554" s="127"/>
      <c r="B554" s="107"/>
      <c r="C554" s="126"/>
    </row>
    <row r="555">
      <c r="A555" s="127"/>
      <c r="B555" s="107"/>
      <c r="C555" s="126"/>
    </row>
    <row r="556">
      <c r="A556" s="127"/>
      <c r="B556" s="107"/>
      <c r="C556" s="126"/>
    </row>
    <row r="557">
      <c r="A557" s="127"/>
      <c r="B557" s="107"/>
      <c r="C557" s="126"/>
    </row>
    <row r="558">
      <c r="A558" s="127"/>
      <c r="B558" s="107"/>
      <c r="C558" s="126"/>
    </row>
    <row r="559">
      <c r="A559" s="127"/>
      <c r="B559" s="107"/>
      <c r="C559" s="126"/>
    </row>
    <row r="560">
      <c r="A560" s="127"/>
      <c r="B560" s="107"/>
      <c r="C560" s="126"/>
    </row>
    <row r="561">
      <c r="A561" s="127"/>
      <c r="B561" s="107"/>
      <c r="C561" s="126"/>
    </row>
    <row r="562">
      <c r="A562" s="127"/>
      <c r="B562" s="107"/>
      <c r="C562" s="126"/>
    </row>
    <row r="563">
      <c r="A563" s="127"/>
      <c r="B563" s="107"/>
      <c r="C563" s="126"/>
    </row>
    <row r="564">
      <c r="A564" s="127"/>
      <c r="B564" s="107"/>
      <c r="C564" s="126"/>
    </row>
    <row r="565">
      <c r="A565" s="127"/>
      <c r="B565" s="107"/>
      <c r="C565" s="126"/>
    </row>
    <row r="566">
      <c r="A566" s="127"/>
      <c r="B566" s="107"/>
      <c r="C566" s="126"/>
    </row>
    <row r="567">
      <c r="A567" s="127"/>
      <c r="B567" s="107"/>
      <c r="C567" s="126"/>
    </row>
    <row r="568">
      <c r="A568" s="127"/>
      <c r="B568" s="107"/>
      <c r="C568" s="126"/>
    </row>
    <row r="569">
      <c r="A569" s="127"/>
      <c r="B569" s="107"/>
      <c r="C569" s="126"/>
    </row>
    <row r="570">
      <c r="A570" s="127"/>
      <c r="B570" s="107"/>
      <c r="C570" s="126"/>
    </row>
    <row r="571">
      <c r="A571" s="127"/>
      <c r="B571" s="107"/>
      <c r="C571" s="126"/>
    </row>
    <row r="572">
      <c r="A572" s="127"/>
      <c r="B572" s="107"/>
      <c r="C572" s="126"/>
    </row>
    <row r="573">
      <c r="A573" s="127"/>
      <c r="B573" s="107"/>
      <c r="C573" s="126"/>
    </row>
    <row r="574">
      <c r="A574" s="127"/>
      <c r="B574" s="107"/>
      <c r="C574" s="126"/>
    </row>
    <row r="575">
      <c r="A575" s="127"/>
      <c r="B575" s="107"/>
      <c r="C575" s="126"/>
    </row>
    <row r="576">
      <c r="A576" s="127"/>
      <c r="B576" s="107"/>
      <c r="C576" s="126"/>
    </row>
    <row r="577">
      <c r="A577" s="127"/>
      <c r="B577" s="107"/>
      <c r="C577" s="126"/>
    </row>
    <row r="578">
      <c r="A578" s="127"/>
      <c r="B578" s="107"/>
      <c r="C578" s="126"/>
    </row>
    <row r="579">
      <c r="A579" s="127"/>
      <c r="B579" s="107"/>
      <c r="C579" s="126"/>
    </row>
    <row r="580">
      <c r="A580" s="127"/>
      <c r="B580" s="107"/>
      <c r="C580" s="126"/>
    </row>
    <row r="581">
      <c r="A581" s="127"/>
      <c r="B581" s="107"/>
      <c r="C581" s="126"/>
    </row>
    <row r="582">
      <c r="A582" s="127"/>
      <c r="B582" s="107"/>
      <c r="C582" s="126"/>
    </row>
    <row r="583">
      <c r="A583" s="127"/>
      <c r="B583" s="107"/>
      <c r="C583" s="126"/>
    </row>
    <row r="584">
      <c r="A584" s="127"/>
      <c r="B584" s="107"/>
      <c r="C584" s="126"/>
    </row>
    <row r="585">
      <c r="A585" s="127"/>
      <c r="B585" s="107"/>
      <c r="C585" s="126"/>
    </row>
    <row r="586">
      <c r="A586" s="127"/>
      <c r="B586" s="107"/>
      <c r="C586" s="126"/>
    </row>
    <row r="587">
      <c r="A587" s="127"/>
      <c r="B587" s="107"/>
      <c r="C587" s="126"/>
    </row>
    <row r="588">
      <c r="A588" s="127"/>
      <c r="B588" s="107"/>
      <c r="C588" s="126"/>
    </row>
    <row r="589">
      <c r="A589" s="127"/>
      <c r="B589" s="107"/>
      <c r="C589" s="126"/>
    </row>
    <row r="590">
      <c r="A590" s="127"/>
      <c r="B590" s="107"/>
      <c r="C590" s="126"/>
    </row>
    <row r="591">
      <c r="A591" s="127"/>
      <c r="B591" s="107"/>
      <c r="C591" s="126"/>
    </row>
    <row r="592">
      <c r="A592" s="127"/>
      <c r="B592" s="107"/>
      <c r="C592" s="126"/>
    </row>
    <row r="593">
      <c r="A593" s="127"/>
      <c r="B593" s="107"/>
      <c r="C593" s="126"/>
    </row>
    <row r="594">
      <c r="A594" s="127"/>
      <c r="B594" s="107"/>
      <c r="C594" s="126"/>
    </row>
    <row r="595">
      <c r="A595" s="127"/>
      <c r="B595" s="107"/>
      <c r="C595" s="126"/>
    </row>
    <row r="596">
      <c r="A596" s="127"/>
      <c r="B596" s="107"/>
      <c r="C596" s="126"/>
    </row>
    <row r="597">
      <c r="A597" s="127"/>
      <c r="B597" s="107"/>
      <c r="C597" s="126"/>
    </row>
    <row r="598">
      <c r="A598" s="127"/>
      <c r="B598" s="107"/>
      <c r="C598" s="126"/>
    </row>
    <row r="599">
      <c r="A599" s="127"/>
      <c r="B599" s="107"/>
      <c r="C599" s="126"/>
    </row>
    <row r="600">
      <c r="A600" s="127"/>
      <c r="B600" s="107"/>
      <c r="C600" s="126"/>
    </row>
    <row r="601">
      <c r="A601" s="127"/>
      <c r="B601" s="107"/>
      <c r="C601" s="126"/>
    </row>
    <row r="602">
      <c r="A602" s="127"/>
      <c r="B602" s="107"/>
      <c r="C602" s="126"/>
    </row>
    <row r="603">
      <c r="A603" s="127"/>
      <c r="B603" s="107"/>
      <c r="C603" s="126"/>
    </row>
    <row r="604">
      <c r="A604" s="127"/>
      <c r="B604" s="107"/>
      <c r="C604" s="126"/>
    </row>
    <row r="605">
      <c r="A605" s="127"/>
      <c r="B605" s="107"/>
      <c r="C605" s="126"/>
    </row>
    <row r="606">
      <c r="A606" s="127"/>
      <c r="B606" s="107"/>
      <c r="C606" s="126"/>
    </row>
    <row r="607">
      <c r="A607" s="127"/>
      <c r="B607" s="107"/>
      <c r="C607" s="126"/>
    </row>
    <row r="608">
      <c r="A608" s="127"/>
      <c r="B608" s="107"/>
      <c r="C608" s="126"/>
    </row>
    <row r="609">
      <c r="A609" s="127"/>
      <c r="B609" s="107"/>
      <c r="C609" s="126"/>
    </row>
    <row r="610">
      <c r="A610" s="127"/>
      <c r="B610" s="107"/>
      <c r="C610" s="126"/>
    </row>
    <row r="611">
      <c r="A611" s="127"/>
      <c r="B611" s="107"/>
      <c r="C611" s="126"/>
    </row>
    <row r="612">
      <c r="A612" s="127"/>
      <c r="B612" s="107"/>
      <c r="C612" s="126"/>
    </row>
    <row r="613">
      <c r="A613" s="127"/>
      <c r="B613" s="107"/>
      <c r="C613" s="126"/>
    </row>
    <row r="614">
      <c r="A614" s="127"/>
      <c r="B614" s="107"/>
      <c r="C614" s="126"/>
    </row>
    <row r="615">
      <c r="A615" s="127"/>
      <c r="B615" s="107"/>
      <c r="C615" s="126"/>
    </row>
    <row r="616">
      <c r="A616" s="127"/>
      <c r="B616" s="107"/>
      <c r="C616" s="126"/>
    </row>
    <row r="617">
      <c r="A617" s="127"/>
      <c r="B617" s="107"/>
      <c r="C617" s="126"/>
    </row>
    <row r="618">
      <c r="A618" s="127"/>
      <c r="B618" s="107"/>
      <c r="C618" s="126"/>
    </row>
    <row r="619">
      <c r="A619" s="127"/>
      <c r="B619" s="107"/>
      <c r="C619" s="126"/>
    </row>
    <row r="620">
      <c r="A620" s="127"/>
      <c r="B620" s="107"/>
      <c r="C620" s="126"/>
    </row>
    <row r="621">
      <c r="A621" s="127"/>
      <c r="B621" s="107"/>
      <c r="C621" s="126"/>
    </row>
    <row r="622">
      <c r="A622" s="127"/>
      <c r="B622" s="107"/>
      <c r="C622" s="126"/>
    </row>
    <row r="623">
      <c r="A623" s="127"/>
      <c r="B623" s="107"/>
      <c r="C623" s="126"/>
    </row>
    <row r="624">
      <c r="A624" s="127"/>
      <c r="B624" s="107"/>
      <c r="C624" s="126"/>
    </row>
    <row r="625">
      <c r="A625" s="127"/>
      <c r="B625" s="107"/>
      <c r="C625" s="126"/>
    </row>
    <row r="626">
      <c r="A626" s="127"/>
      <c r="B626" s="107"/>
      <c r="C626" s="126"/>
    </row>
    <row r="627">
      <c r="A627" s="127"/>
      <c r="B627" s="107"/>
      <c r="C627" s="126"/>
    </row>
    <row r="628">
      <c r="A628" s="127"/>
      <c r="B628" s="107"/>
      <c r="C628" s="126"/>
    </row>
    <row r="629">
      <c r="A629" s="127"/>
      <c r="B629" s="107"/>
      <c r="C629" s="126"/>
    </row>
    <row r="630">
      <c r="A630" s="127"/>
      <c r="B630" s="107"/>
      <c r="C630" s="126"/>
    </row>
    <row r="631">
      <c r="A631" s="127"/>
      <c r="B631" s="107"/>
      <c r="C631" s="126"/>
    </row>
    <row r="632">
      <c r="A632" s="127"/>
      <c r="B632" s="107"/>
      <c r="C632" s="126"/>
    </row>
    <row r="633">
      <c r="A633" s="127"/>
      <c r="B633" s="107"/>
      <c r="C633" s="126"/>
    </row>
    <row r="634">
      <c r="A634" s="127"/>
      <c r="B634" s="107"/>
      <c r="C634" s="126"/>
    </row>
    <row r="635">
      <c r="A635" s="127"/>
      <c r="B635" s="107"/>
      <c r="C635" s="126"/>
    </row>
    <row r="636">
      <c r="A636" s="127"/>
      <c r="B636" s="107"/>
      <c r="C636" s="126"/>
    </row>
    <row r="637">
      <c r="A637" s="127"/>
      <c r="B637" s="107"/>
      <c r="C637" s="126"/>
    </row>
    <row r="638">
      <c r="A638" s="127"/>
      <c r="B638" s="107"/>
      <c r="C638" s="126"/>
    </row>
    <row r="639">
      <c r="A639" s="127"/>
      <c r="B639" s="107"/>
      <c r="C639" s="126"/>
    </row>
    <row r="640">
      <c r="A640" s="127"/>
      <c r="B640" s="107"/>
      <c r="C640" s="126"/>
    </row>
    <row r="641">
      <c r="A641" s="127"/>
      <c r="B641" s="107"/>
      <c r="C641" s="126"/>
    </row>
    <row r="642">
      <c r="A642" s="127"/>
      <c r="B642" s="107"/>
      <c r="C642" s="126"/>
    </row>
    <row r="643">
      <c r="A643" s="127"/>
      <c r="B643" s="107"/>
      <c r="C643" s="126"/>
    </row>
    <row r="644">
      <c r="A644" s="127"/>
      <c r="B644" s="107"/>
      <c r="C644" s="126"/>
    </row>
    <row r="645">
      <c r="A645" s="127"/>
      <c r="B645" s="107"/>
      <c r="C645" s="126"/>
    </row>
    <row r="646">
      <c r="A646" s="127"/>
      <c r="B646" s="107"/>
      <c r="C646" s="126"/>
    </row>
    <row r="647">
      <c r="A647" s="127"/>
      <c r="B647" s="107"/>
      <c r="C647" s="126"/>
    </row>
    <row r="648">
      <c r="A648" s="127"/>
      <c r="B648" s="107"/>
      <c r="C648" s="126"/>
    </row>
    <row r="649">
      <c r="A649" s="127"/>
      <c r="B649" s="107"/>
      <c r="C649" s="126"/>
    </row>
    <row r="650">
      <c r="A650" s="127"/>
      <c r="B650" s="107"/>
      <c r="C650" s="126"/>
    </row>
    <row r="651">
      <c r="A651" s="127"/>
      <c r="B651" s="107"/>
      <c r="C651" s="126"/>
    </row>
    <row r="652">
      <c r="A652" s="127"/>
      <c r="B652" s="107"/>
      <c r="C652" s="126"/>
    </row>
    <row r="653">
      <c r="A653" s="127"/>
      <c r="B653" s="107"/>
      <c r="C653" s="126"/>
    </row>
    <row r="654">
      <c r="A654" s="127"/>
      <c r="B654" s="107"/>
      <c r="C654" s="126"/>
    </row>
    <row r="655">
      <c r="A655" s="127"/>
      <c r="B655" s="107"/>
      <c r="C655" s="126"/>
    </row>
    <row r="656">
      <c r="A656" s="127"/>
      <c r="B656" s="107"/>
      <c r="C656" s="126"/>
    </row>
    <row r="657">
      <c r="A657" s="127"/>
      <c r="B657" s="107"/>
      <c r="C657" s="126"/>
    </row>
    <row r="658">
      <c r="A658" s="127"/>
      <c r="B658" s="107"/>
      <c r="C658" s="126"/>
    </row>
    <row r="659">
      <c r="A659" s="127"/>
      <c r="B659" s="107"/>
      <c r="C659" s="126"/>
    </row>
    <row r="660">
      <c r="A660" s="127"/>
      <c r="B660" s="107"/>
      <c r="C660" s="126"/>
    </row>
    <row r="661">
      <c r="A661" s="127"/>
      <c r="B661" s="107"/>
      <c r="C661" s="126"/>
    </row>
    <row r="662">
      <c r="A662" s="127"/>
      <c r="B662" s="107"/>
      <c r="C662" s="126"/>
    </row>
    <row r="663">
      <c r="A663" s="127"/>
      <c r="B663" s="107"/>
      <c r="C663" s="126"/>
    </row>
    <row r="664">
      <c r="A664" s="127"/>
      <c r="B664" s="107"/>
      <c r="C664" s="126"/>
    </row>
    <row r="665">
      <c r="A665" s="127"/>
      <c r="B665" s="107"/>
      <c r="C665" s="126"/>
    </row>
    <row r="666">
      <c r="A666" s="127"/>
      <c r="B666" s="107"/>
      <c r="C666" s="126"/>
    </row>
    <row r="667">
      <c r="A667" s="127"/>
      <c r="B667" s="107"/>
      <c r="C667" s="126"/>
    </row>
    <row r="668">
      <c r="A668" s="127"/>
      <c r="B668" s="107"/>
      <c r="C668" s="126"/>
    </row>
    <row r="669">
      <c r="A669" s="127"/>
      <c r="B669" s="107"/>
      <c r="C669" s="126"/>
    </row>
    <row r="670">
      <c r="A670" s="127"/>
      <c r="B670" s="107"/>
      <c r="C670" s="126"/>
    </row>
    <row r="671">
      <c r="A671" s="127"/>
      <c r="B671" s="107"/>
      <c r="C671" s="126"/>
    </row>
    <row r="672">
      <c r="A672" s="127"/>
      <c r="B672" s="107"/>
      <c r="C672" s="126"/>
    </row>
    <row r="673">
      <c r="A673" s="127"/>
      <c r="B673" s="107"/>
      <c r="C673" s="126"/>
    </row>
    <row r="674">
      <c r="A674" s="127"/>
      <c r="B674" s="107"/>
      <c r="C674" s="126"/>
    </row>
    <row r="675">
      <c r="A675" s="127"/>
      <c r="B675" s="107"/>
      <c r="C675" s="126"/>
    </row>
    <row r="676">
      <c r="A676" s="127"/>
      <c r="B676" s="107"/>
      <c r="C676" s="126"/>
    </row>
    <row r="677">
      <c r="A677" s="127"/>
      <c r="B677" s="107"/>
      <c r="C677" s="126"/>
    </row>
    <row r="678">
      <c r="A678" s="127"/>
      <c r="B678" s="107"/>
      <c r="C678" s="126"/>
    </row>
    <row r="679">
      <c r="A679" s="127"/>
      <c r="B679" s="107"/>
      <c r="C679" s="126"/>
    </row>
    <row r="680">
      <c r="A680" s="127"/>
      <c r="B680" s="107"/>
      <c r="C680" s="126"/>
    </row>
    <row r="681">
      <c r="A681" s="127"/>
      <c r="B681" s="107"/>
      <c r="C681" s="126"/>
    </row>
    <row r="682">
      <c r="A682" s="127"/>
      <c r="B682" s="107"/>
      <c r="C682" s="126"/>
    </row>
    <row r="683">
      <c r="A683" s="127"/>
      <c r="B683" s="107"/>
      <c r="C683" s="126"/>
    </row>
    <row r="684">
      <c r="A684" s="127"/>
      <c r="B684" s="107"/>
      <c r="C684" s="126"/>
    </row>
    <row r="685">
      <c r="A685" s="127"/>
      <c r="B685" s="107"/>
      <c r="C685" s="126"/>
    </row>
    <row r="686">
      <c r="A686" s="127"/>
      <c r="B686" s="107"/>
      <c r="C686" s="126"/>
    </row>
    <row r="687">
      <c r="A687" s="127"/>
      <c r="B687" s="107"/>
      <c r="C687" s="126"/>
    </row>
    <row r="688">
      <c r="A688" s="127"/>
      <c r="B688" s="107"/>
      <c r="C688" s="126"/>
    </row>
    <row r="689">
      <c r="A689" s="127"/>
      <c r="B689" s="107"/>
      <c r="C689" s="126"/>
    </row>
    <row r="690">
      <c r="A690" s="127"/>
      <c r="B690" s="107"/>
      <c r="C690" s="126"/>
    </row>
    <row r="691">
      <c r="A691" s="127"/>
      <c r="B691" s="107"/>
      <c r="C691" s="126"/>
    </row>
    <row r="692">
      <c r="A692" s="127"/>
      <c r="B692" s="107"/>
      <c r="C692" s="126"/>
    </row>
    <row r="693">
      <c r="A693" s="127"/>
      <c r="B693" s="107"/>
      <c r="C693" s="126"/>
    </row>
    <row r="694">
      <c r="A694" s="127"/>
      <c r="B694" s="107"/>
      <c r="C694" s="126"/>
    </row>
    <row r="695">
      <c r="A695" s="127"/>
      <c r="B695" s="107"/>
      <c r="C695" s="126"/>
    </row>
    <row r="696">
      <c r="A696" s="127"/>
      <c r="B696" s="107"/>
      <c r="C696" s="126"/>
    </row>
    <row r="697">
      <c r="A697" s="127"/>
      <c r="B697" s="107"/>
      <c r="C697" s="126"/>
    </row>
    <row r="698">
      <c r="A698" s="127"/>
      <c r="B698" s="107"/>
      <c r="C698" s="126"/>
    </row>
    <row r="699">
      <c r="A699" s="127"/>
      <c r="B699" s="107"/>
      <c r="C699" s="126"/>
    </row>
    <row r="700">
      <c r="A700" s="127"/>
      <c r="B700" s="107"/>
      <c r="C700" s="126"/>
    </row>
    <row r="701">
      <c r="A701" s="127"/>
      <c r="B701" s="107"/>
      <c r="C701" s="126"/>
    </row>
    <row r="702">
      <c r="A702" s="127"/>
      <c r="B702" s="107"/>
      <c r="C702" s="126"/>
    </row>
    <row r="703">
      <c r="A703" s="127"/>
      <c r="B703" s="107"/>
      <c r="C703" s="126"/>
    </row>
    <row r="704">
      <c r="A704" s="127"/>
      <c r="B704" s="107"/>
      <c r="C704" s="126"/>
    </row>
    <row r="705">
      <c r="A705" s="127"/>
      <c r="B705" s="107"/>
      <c r="C705" s="126"/>
    </row>
    <row r="706">
      <c r="A706" s="127"/>
      <c r="B706" s="107"/>
      <c r="C706" s="126"/>
    </row>
    <row r="707">
      <c r="A707" s="127"/>
      <c r="B707" s="107"/>
      <c r="C707" s="126"/>
    </row>
    <row r="708">
      <c r="A708" s="127"/>
      <c r="B708" s="107"/>
      <c r="C708" s="126"/>
    </row>
    <row r="709">
      <c r="A709" s="127"/>
      <c r="B709" s="107"/>
      <c r="C709" s="126"/>
    </row>
    <row r="710">
      <c r="A710" s="127"/>
      <c r="B710" s="107"/>
      <c r="C710" s="126"/>
    </row>
    <row r="711">
      <c r="A711" s="127"/>
      <c r="B711" s="107"/>
      <c r="C711" s="126"/>
    </row>
    <row r="712">
      <c r="A712" s="127"/>
      <c r="B712" s="107"/>
      <c r="C712" s="126"/>
    </row>
    <row r="713">
      <c r="A713" s="127"/>
      <c r="B713" s="107"/>
      <c r="C713" s="126"/>
    </row>
    <row r="714">
      <c r="A714" s="127"/>
      <c r="B714" s="107"/>
      <c r="C714" s="126"/>
    </row>
    <row r="715">
      <c r="A715" s="127"/>
      <c r="B715" s="107"/>
      <c r="C715" s="126"/>
    </row>
    <row r="716">
      <c r="A716" s="127"/>
      <c r="B716" s="107"/>
      <c r="C716" s="126"/>
    </row>
    <row r="717">
      <c r="A717" s="127"/>
      <c r="B717" s="107"/>
      <c r="C717" s="126"/>
    </row>
    <row r="718">
      <c r="A718" s="127"/>
      <c r="B718" s="107"/>
      <c r="C718" s="126"/>
    </row>
    <row r="719">
      <c r="A719" s="127"/>
      <c r="B719" s="107"/>
      <c r="C719" s="126"/>
    </row>
    <row r="720">
      <c r="A720" s="127"/>
      <c r="B720" s="107"/>
      <c r="C720" s="126"/>
    </row>
    <row r="721">
      <c r="A721" s="127"/>
      <c r="B721" s="107"/>
      <c r="C721" s="126"/>
    </row>
    <row r="722">
      <c r="A722" s="127"/>
      <c r="B722" s="107"/>
      <c r="C722" s="126"/>
    </row>
    <row r="723">
      <c r="A723" s="127"/>
      <c r="B723" s="107"/>
      <c r="C723" s="126"/>
    </row>
    <row r="724">
      <c r="A724" s="127"/>
      <c r="B724" s="107"/>
      <c r="C724" s="126"/>
    </row>
    <row r="725">
      <c r="A725" s="127"/>
      <c r="B725" s="107"/>
      <c r="C725" s="126"/>
    </row>
    <row r="726">
      <c r="A726" s="127"/>
      <c r="B726" s="107"/>
      <c r="C726" s="126"/>
    </row>
    <row r="727">
      <c r="A727" s="127"/>
      <c r="B727" s="107"/>
      <c r="C727" s="126"/>
    </row>
    <row r="728">
      <c r="A728" s="127"/>
      <c r="B728" s="107"/>
      <c r="C728" s="126"/>
    </row>
    <row r="729">
      <c r="A729" s="127"/>
      <c r="B729" s="107"/>
      <c r="C729" s="126"/>
    </row>
    <row r="730">
      <c r="A730" s="127"/>
      <c r="B730" s="107"/>
      <c r="C730" s="126"/>
    </row>
    <row r="731">
      <c r="A731" s="127"/>
      <c r="B731" s="107"/>
      <c r="C731" s="126"/>
    </row>
    <row r="732">
      <c r="A732" s="127"/>
      <c r="B732" s="107"/>
      <c r="C732" s="126"/>
    </row>
    <row r="733">
      <c r="A733" s="127"/>
      <c r="B733" s="107"/>
      <c r="C733" s="126"/>
    </row>
    <row r="734">
      <c r="A734" s="127"/>
      <c r="B734" s="107"/>
      <c r="C734" s="126"/>
    </row>
    <row r="735">
      <c r="A735" s="127"/>
      <c r="B735" s="107"/>
      <c r="C735" s="126"/>
    </row>
    <row r="736">
      <c r="A736" s="127"/>
      <c r="B736" s="107"/>
      <c r="C736" s="126"/>
    </row>
    <row r="737">
      <c r="A737" s="127"/>
      <c r="B737" s="107"/>
      <c r="C737" s="126"/>
    </row>
    <row r="738">
      <c r="A738" s="127"/>
      <c r="B738" s="107"/>
      <c r="C738" s="126"/>
    </row>
    <row r="739">
      <c r="A739" s="127"/>
      <c r="B739" s="107"/>
      <c r="C739" s="126"/>
    </row>
    <row r="740">
      <c r="A740" s="127"/>
      <c r="B740" s="107"/>
      <c r="C740" s="126"/>
    </row>
    <row r="741">
      <c r="A741" s="127"/>
      <c r="B741" s="107"/>
      <c r="C741" s="126"/>
    </row>
    <row r="742">
      <c r="A742" s="127"/>
      <c r="B742" s="107"/>
      <c r="C742" s="126"/>
    </row>
    <row r="743">
      <c r="A743" s="127"/>
      <c r="B743" s="107"/>
      <c r="C743" s="126"/>
    </row>
    <row r="744">
      <c r="A744" s="127"/>
      <c r="B744" s="107"/>
      <c r="C744" s="126"/>
    </row>
    <row r="745">
      <c r="A745" s="127"/>
      <c r="B745" s="107"/>
      <c r="C745" s="126"/>
    </row>
    <row r="746">
      <c r="A746" s="127"/>
      <c r="B746" s="107"/>
      <c r="C746" s="126"/>
    </row>
    <row r="747">
      <c r="A747" s="127"/>
      <c r="B747" s="107"/>
      <c r="C747" s="126"/>
    </row>
    <row r="748">
      <c r="A748" s="127"/>
      <c r="B748" s="107"/>
      <c r="C748" s="126"/>
    </row>
    <row r="749">
      <c r="A749" s="127"/>
      <c r="B749" s="107"/>
      <c r="C749" s="126"/>
    </row>
    <row r="750">
      <c r="A750" s="127"/>
      <c r="B750" s="107"/>
      <c r="C750" s="126"/>
    </row>
    <row r="751">
      <c r="A751" s="127"/>
      <c r="B751" s="107"/>
      <c r="C751" s="126"/>
    </row>
    <row r="752">
      <c r="A752" s="127"/>
      <c r="B752" s="107"/>
      <c r="C752" s="126"/>
    </row>
    <row r="753">
      <c r="A753" s="127"/>
      <c r="B753" s="107"/>
      <c r="C753" s="126"/>
    </row>
    <row r="754">
      <c r="A754" s="127"/>
      <c r="B754" s="107"/>
      <c r="C754" s="126"/>
    </row>
    <row r="755">
      <c r="A755" s="127"/>
      <c r="B755" s="107"/>
      <c r="C755" s="126"/>
    </row>
    <row r="756">
      <c r="A756" s="127"/>
      <c r="B756" s="107"/>
      <c r="C756" s="126"/>
    </row>
    <row r="757">
      <c r="A757" s="127"/>
      <c r="B757" s="107"/>
      <c r="C757" s="126"/>
    </row>
    <row r="758">
      <c r="A758" s="127"/>
      <c r="B758" s="107"/>
      <c r="C758" s="126"/>
    </row>
    <row r="759">
      <c r="A759" s="127"/>
      <c r="B759" s="107"/>
      <c r="C759" s="126"/>
    </row>
    <row r="760">
      <c r="A760" s="127"/>
      <c r="B760" s="107"/>
      <c r="C760" s="126"/>
    </row>
    <row r="761">
      <c r="A761" s="127"/>
      <c r="B761" s="107"/>
      <c r="C761" s="126"/>
    </row>
    <row r="762">
      <c r="A762" s="127"/>
      <c r="B762" s="107"/>
      <c r="C762" s="126"/>
    </row>
    <row r="763">
      <c r="A763" s="127"/>
      <c r="B763" s="107"/>
      <c r="C763" s="126"/>
    </row>
    <row r="764">
      <c r="A764" s="127"/>
      <c r="B764" s="107"/>
      <c r="C764" s="126"/>
    </row>
    <row r="765">
      <c r="A765" s="127"/>
      <c r="B765" s="107"/>
      <c r="C765" s="126"/>
    </row>
    <row r="766">
      <c r="A766" s="127"/>
      <c r="B766" s="107"/>
      <c r="C766" s="126"/>
    </row>
    <row r="767">
      <c r="A767" s="127"/>
      <c r="B767" s="107"/>
      <c r="C767" s="126"/>
    </row>
    <row r="768">
      <c r="A768" s="127"/>
      <c r="B768" s="107"/>
      <c r="C768" s="126"/>
    </row>
    <row r="769">
      <c r="A769" s="127"/>
      <c r="B769" s="107"/>
      <c r="C769" s="126"/>
    </row>
    <row r="770">
      <c r="A770" s="127"/>
      <c r="B770" s="107"/>
      <c r="C770" s="126"/>
    </row>
    <row r="771">
      <c r="A771" s="127"/>
      <c r="B771" s="107"/>
      <c r="C771" s="126"/>
    </row>
    <row r="772">
      <c r="A772" s="127"/>
      <c r="B772" s="107"/>
      <c r="C772" s="126"/>
    </row>
    <row r="773">
      <c r="A773" s="127"/>
      <c r="B773" s="107"/>
      <c r="C773" s="126"/>
    </row>
    <row r="774">
      <c r="A774" s="127"/>
      <c r="B774" s="107"/>
      <c r="C774" s="126"/>
    </row>
    <row r="775">
      <c r="A775" s="127"/>
      <c r="B775" s="107"/>
      <c r="C775" s="126"/>
    </row>
    <row r="776">
      <c r="A776" s="127"/>
      <c r="B776" s="107"/>
      <c r="C776" s="126"/>
    </row>
    <row r="777">
      <c r="A777" s="127"/>
      <c r="B777" s="107"/>
      <c r="C777" s="126"/>
    </row>
    <row r="778">
      <c r="A778" s="127"/>
      <c r="B778" s="107"/>
      <c r="C778" s="126"/>
    </row>
    <row r="779">
      <c r="A779" s="127"/>
      <c r="B779" s="107"/>
      <c r="C779" s="126"/>
    </row>
    <row r="780">
      <c r="A780" s="127"/>
      <c r="B780" s="107"/>
      <c r="C780" s="126"/>
    </row>
    <row r="781">
      <c r="A781" s="127"/>
      <c r="B781" s="107"/>
      <c r="C781" s="126"/>
    </row>
    <row r="782">
      <c r="A782" s="127"/>
      <c r="B782" s="107"/>
      <c r="C782" s="126"/>
    </row>
    <row r="783">
      <c r="A783" s="127"/>
      <c r="B783" s="107"/>
      <c r="C783" s="126"/>
    </row>
    <row r="784">
      <c r="A784" s="127"/>
      <c r="B784" s="107"/>
      <c r="C784" s="126"/>
    </row>
    <row r="785">
      <c r="A785" s="127"/>
      <c r="B785" s="107"/>
      <c r="C785" s="126"/>
    </row>
    <row r="786">
      <c r="A786" s="127"/>
      <c r="B786" s="107"/>
      <c r="C786" s="126"/>
    </row>
    <row r="787">
      <c r="A787" s="127"/>
      <c r="B787" s="107"/>
      <c r="C787" s="126"/>
    </row>
    <row r="788">
      <c r="A788" s="127"/>
      <c r="B788" s="107"/>
      <c r="C788" s="126"/>
    </row>
    <row r="789">
      <c r="A789" s="127"/>
      <c r="B789" s="107"/>
      <c r="C789" s="126"/>
    </row>
    <row r="790">
      <c r="A790" s="127"/>
      <c r="B790" s="107"/>
      <c r="C790" s="126"/>
    </row>
    <row r="791">
      <c r="A791" s="127"/>
      <c r="B791" s="107"/>
      <c r="C791" s="126"/>
    </row>
    <row r="792">
      <c r="A792" s="127"/>
      <c r="B792" s="107"/>
      <c r="C792" s="126"/>
    </row>
    <row r="793">
      <c r="A793" s="127"/>
      <c r="B793" s="107"/>
      <c r="C793" s="126"/>
    </row>
    <row r="794">
      <c r="A794" s="127"/>
      <c r="B794" s="107"/>
      <c r="C794" s="126"/>
    </row>
    <row r="795">
      <c r="A795" s="127"/>
      <c r="B795" s="107"/>
      <c r="C795" s="126"/>
    </row>
    <row r="796">
      <c r="A796" s="127"/>
      <c r="B796" s="107"/>
      <c r="C796" s="126"/>
    </row>
    <row r="797">
      <c r="A797" s="127"/>
      <c r="B797" s="107"/>
      <c r="C797" s="126"/>
    </row>
    <row r="798">
      <c r="A798" s="127"/>
      <c r="B798" s="107"/>
      <c r="C798" s="126"/>
    </row>
    <row r="799">
      <c r="A799" s="127"/>
      <c r="B799" s="107"/>
      <c r="C799" s="126"/>
    </row>
    <row r="800">
      <c r="A800" s="127"/>
      <c r="B800" s="107"/>
      <c r="C800" s="126"/>
    </row>
    <row r="801">
      <c r="A801" s="127"/>
      <c r="B801" s="107"/>
      <c r="C801" s="126"/>
    </row>
    <row r="802">
      <c r="A802" s="127"/>
      <c r="B802" s="107"/>
      <c r="C802" s="126"/>
    </row>
    <row r="803">
      <c r="A803" s="127"/>
      <c r="B803" s="107"/>
      <c r="C803" s="126"/>
    </row>
    <row r="804">
      <c r="A804" s="127"/>
      <c r="B804" s="107"/>
      <c r="C804" s="126"/>
    </row>
    <row r="805">
      <c r="A805" s="127"/>
      <c r="B805" s="107"/>
      <c r="C805" s="126"/>
    </row>
    <row r="806">
      <c r="A806" s="127"/>
      <c r="B806" s="107"/>
      <c r="C806" s="126"/>
    </row>
    <row r="807">
      <c r="A807" s="127"/>
      <c r="B807" s="107"/>
      <c r="C807" s="126"/>
    </row>
    <row r="808">
      <c r="A808" s="127"/>
      <c r="B808" s="107"/>
      <c r="C808" s="126"/>
    </row>
    <row r="809">
      <c r="A809" s="127"/>
      <c r="B809" s="107"/>
      <c r="C809" s="126"/>
    </row>
    <row r="810">
      <c r="A810" s="127"/>
      <c r="B810" s="107"/>
      <c r="C810" s="126"/>
    </row>
    <row r="811">
      <c r="A811" s="127"/>
      <c r="B811" s="107"/>
      <c r="C811" s="126"/>
    </row>
    <row r="812">
      <c r="A812" s="127"/>
      <c r="B812" s="107"/>
      <c r="C812" s="126"/>
    </row>
    <row r="813">
      <c r="A813" s="127"/>
      <c r="B813" s="107"/>
      <c r="C813" s="126"/>
    </row>
    <row r="814">
      <c r="A814" s="127"/>
      <c r="B814" s="107"/>
      <c r="C814" s="126"/>
    </row>
    <row r="815">
      <c r="A815" s="127"/>
      <c r="B815" s="107"/>
      <c r="C815" s="126"/>
    </row>
    <row r="816">
      <c r="A816" s="127"/>
      <c r="B816" s="107"/>
      <c r="C816" s="126"/>
    </row>
    <row r="817">
      <c r="A817" s="127"/>
      <c r="B817" s="107"/>
      <c r="C817" s="126"/>
    </row>
    <row r="818">
      <c r="A818" s="127"/>
      <c r="B818" s="107"/>
      <c r="C818" s="126"/>
    </row>
    <row r="819">
      <c r="A819" s="127"/>
      <c r="B819" s="107"/>
      <c r="C819" s="126"/>
    </row>
    <row r="820">
      <c r="A820" s="127"/>
      <c r="B820" s="107"/>
      <c r="C820" s="126"/>
    </row>
    <row r="821">
      <c r="A821" s="127"/>
      <c r="B821" s="107"/>
      <c r="C821" s="126"/>
    </row>
    <row r="822">
      <c r="A822" s="127"/>
      <c r="B822" s="107"/>
      <c r="C822" s="126"/>
    </row>
    <row r="823">
      <c r="A823" s="127"/>
      <c r="B823" s="107"/>
      <c r="C823" s="126"/>
    </row>
    <row r="824">
      <c r="A824" s="127"/>
      <c r="B824" s="107"/>
      <c r="C824" s="126"/>
    </row>
    <row r="825">
      <c r="A825" s="127"/>
      <c r="B825" s="107"/>
      <c r="C825" s="126"/>
    </row>
    <row r="826">
      <c r="A826" s="127"/>
      <c r="B826" s="107"/>
      <c r="C826" s="126"/>
    </row>
    <row r="827">
      <c r="A827" s="127"/>
      <c r="B827" s="107"/>
      <c r="C827" s="126"/>
    </row>
    <row r="828">
      <c r="A828" s="127"/>
      <c r="B828" s="107"/>
      <c r="C828" s="126"/>
    </row>
    <row r="829">
      <c r="A829" s="127"/>
      <c r="B829" s="107"/>
      <c r="C829" s="126"/>
    </row>
    <row r="830">
      <c r="A830" s="127"/>
      <c r="B830" s="107"/>
      <c r="C830" s="126"/>
    </row>
    <row r="831">
      <c r="A831" s="127"/>
      <c r="B831" s="107"/>
      <c r="C831" s="126"/>
    </row>
    <row r="832">
      <c r="A832" s="127"/>
      <c r="B832" s="107"/>
      <c r="C832" s="126"/>
    </row>
    <row r="833">
      <c r="A833" s="127"/>
      <c r="B833" s="107"/>
      <c r="C833" s="126"/>
    </row>
    <row r="834">
      <c r="A834" s="127"/>
      <c r="B834" s="107"/>
      <c r="C834" s="126"/>
    </row>
    <row r="835">
      <c r="A835" s="127"/>
      <c r="B835" s="107"/>
      <c r="C835" s="126"/>
    </row>
    <row r="836">
      <c r="A836" s="127"/>
      <c r="B836" s="107"/>
      <c r="C836" s="126"/>
    </row>
    <row r="837">
      <c r="A837" s="127"/>
      <c r="B837" s="107"/>
      <c r="C837" s="126"/>
    </row>
    <row r="838">
      <c r="A838" s="127"/>
      <c r="B838" s="107"/>
      <c r="C838" s="126"/>
    </row>
    <row r="839">
      <c r="A839" s="127"/>
      <c r="B839" s="107"/>
      <c r="C839" s="126"/>
    </row>
    <row r="840">
      <c r="A840" s="127"/>
      <c r="B840" s="107"/>
      <c r="C840" s="126"/>
    </row>
    <row r="841">
      <c r="A841" s="127"/>
      <c r="B841" s="107"/>
      <c r="C841" s="126"/>
    </row>
    <row r="842">
      <c r="A842" s="127"/>
      <c r="B842" s="107"/>
      <c r="C842" s="126"/>
    </row>
    <row r="843">
      <c r="A843" s="127"/>
      <c r="B843" s="107"/>
      <c r="C843" s="126"/>
    </row>
    <row r="844">
      <c r="A844" s="127"/>
      <c r="B844" s="107"/>
      <c r="C844" s="126"/>
    </row>
    <row r="845">
      <c r="A845" s="127"/>
      <c r="B845" s="107"/>
      <c r="C845" s="126"/>
    </row>
    <row r="846">
      <c r="A846" s="127"/>
      <c r="B846" s="107"/>
      <c r="C846" s="126"/>
    </row>
    <row r="847">
      <c r="A847" s="127"/>
      <c r="B847" s="107"/>
      <c r="C847" s="126"/>
    </row>
    <row r="848">
      <c r="A848" s="127"/>
      <c r="B848" s="107"/>
      <c r="C848" s="126"/>
    </row>
    <row r="849">
      <c r="A849" s="127"/>
      <c r="B849" s="107"/>
      <c r="C849" s="126"/>
    </row>
    <row r="850">
      <c r="A850" s="127"/>
      <c r="B850" s="107"/>
      <c r="C850" s="126"/>
    </row>
    <row r="851">
      <c r="A851" s="127"/>
      <c r="B851" s="107"/>
      <c r="C851" s="126"/>
    </row>
    <row r="852">
      <c r="A852" s="127"/>
      <c r="B852" s="107"/>
      <c r="C852" s="126"/>
    </row>
    <row r="853">
      <c r="A853" s="127"/>
      <c r="B853" s="107"/>
      <c r="C853" s="126"/>
    </row>
    <row r="854">
      <c r="A854" s="127"/>
      <c r="B854" s="107"/>
      <c r="C854" s="126"/>
    </row>
    <row r="855">
      <c r="A855" s="127"/>
      <c r="B855" s="107"/>
      <c r="C855" s="126"/>
    </row>
    <row r="856">
      <c r="A856" s="127"/>
      <c r="B856" s="107"/>
      <c r="C856" s="126"/>
    </row>
    <row r="857">
      <c r="A857" s="127"/>
      <c r="B857" s="107"/>
      <c r="C857" s="126"/>
    </row>
    <row r="858">
      <c r="A858" s="127"/>
      <c r="B858" s="107"/>
      <c r="C858" s="126"/>
    </row>
    <row r="859">
      <c r="A859" s="127"/>
      <c r="B859" s="107"/>
      <c r="C859" s="126"/>
    </row>
    <row r="860">
      <c r="A860" s="127"/>
      <c r="B860" s="107"/>
      <c r="C860" s="126"/>
    </row>
    <row r="861">
      <c r="A861" s="127"/>
      <c r="B861" s="107"/>
      <c r="C861" s="126"/>
    </row>
    <row r="862">
      <c r="A862" s="127"/>
      <c r="B862" s="107"/>
      <c r="C862" s="126"/>
    </row>
    <row r="863">
      <c r="A863" s="127"/>
      <c r="B863" s="107"/>
      <c r="C863" s="126"/>
    </row>
    <row r="864">
      <c r="A864" s="127"/>
      <c r="B864" s="107"/>
      <c r="C864" s="126"/>
    </row>
    <row r="865">
      <c r="A865" s="127"/>
      <c r="B865" s="107"/>
      <c r="C865" s="126"/>
    </row>
    <row r="866">
      <c r="A866" s="127"/>
      <c r="B866" s="107"/>
      <c r="C866" s="126"/>
    </row>
    <row r="867">
      <c r="A867" s="127"/>
      <c r="B867" s="107"/>
      <c r="C867" s="126"/>
    </row>
    <row r="868">
      <c r="A868" s="127"/>
      <c r="B868" s="107"/>
      <c r="C868" s="126"/>
    </row>
    <row r="869">
      <c r="A869" s="127"/>
      <c r="B869" s="107"/>
      <c r="C869" s="126"/>
    </row>
    <row r="870">
      <c r="A870" s="127"/>
      <c r="B870" s="107"/>
      <c r="C870" s="126"/>
    </row>
    <row r="871">
      <c r="A871" s="127"/>
      <c r="B871" s="107"/>
      <c r="C871" s="126"/>
    </row>
    <row r="872">
      <c r="A872" s="127"/>
      <c r="B872" s="107"/>
      <c r="C872" s="126"/>
    </row>
    <row r="873">
      <c r="A873" s="127"/>
      <c r="B873" s="107"/>
      <c r="C873" s="126"/>
    </row>
    <row r="874">
      <c r="A874" s="127"/>
      <c r="B874" s="107"/>
      <c r="C874" s="126"/>
    </row>
    <row r="875">
      <c r="A875" s="127"/>
      <c r="B875" s="107"/>
      <c r="C875" s="126"/>
    </row>
    <row r="876">
      <c r="A876" s="127"/>
      <c r="B876" s="107"/>
      <c r="C876" s="126"/>
    </row>
    <row r="877">
      <c r="A877" s="127"/>
      <c r="B877" s="107"/>
      <c r="C877" s="126"/>
    </row>
    <row r="878">
      <c r="A878" s="127"/>
      <c r="B878" s="107"/>
      <c r="C878" s="126"/>
    </row>
    <row r="879">
      <c r="A879" s="127"/>
      <c r="B879" s="107"/>
      <c r="C879" s="126"/>
    </row>
    <row r="880">
      <c r="A880" s="127"/>
      <c r="B880" s="107"/>
      <c r="C880" s="126"/>
    </row>
    <row r="881">
      <c r="A881" s="127"/>
      <c r="B881" s="107"/>
      <c r="C881" s="126"/>
    </row>
    <row r="882">
      <c r="A882" s="127"/>
      <c r="B882" s="107"/>
      <c r="C882" s="126"/>
    </row>
    <row r="883">
      <c r="A883" s="127"/>
      <c r="B883" s="107"/>
      <c r="C883" s="126"/>
    </row>
    <row r="884">
      <c r="A884" s="127"/>
      <c r="B884" s="107"/>
      <c r="C884" s="126"/>
    </row>
    <row r="885">
      <c r="A885" s="127"/>
      <c r="B885" s="107"/>
      <c r="C885" s="126"/>
    </row>
    <row r="886">
      <c r="A886" s="127"/>
      <c r="B886" s="107"/>
      <c r="C886" s="126"/>
    </row>
    <row r="887">
      <c r="A887" s="127"/>
      <c r="B887" s="107"/>
      <c r="C887" s="126"/>
    </row>
    <row r="888">
      <c r="A888" s="127"/>
      <c r="B888" s="107"/>
      <c r="C888" s="126"/>
    </row>
    <row r="889">
      <c r="A889" s="127"/>
      <c r="B889" s="107"/>
      <c r="C889" s="126"/>
    </row>
    <row r="890">
      <c r="A890" s="127"/>
      <c r="B890" s="107"/>
      <c r="C890" s="126"/>
    </row>
    <row r="891">
      <c r="A891" s="127"/>
      <c r="B891" s="107"/>
      <c r="C891" s="126"/>
    </row>
    <row r="892">
      <c r="A892" s="127"/>
      <c r="B892" s="107"/>
      <c r="C892" s="126"/>
    </row>
    <row r="893">
      <c r="A893" s="127"/>
      <c r="B893" s="107"/>
      <c r="C893" s="126"/>
    </row>
    <row r="894">
      <c r="A894" s="127"/>
      <c r="B894" s="107"/>
      <c r="C894" s="126"/>
    </row>
    <row r="895">
      <c r="A895" s="127"/>
      <c r="B895" s="107"/>
      <c r="C895" s="126"/>
    </row>
    <row r="896">
      <c r="A896" s="127"/>
      <c r="B896" s="107"/>
      <c r="C896" s="126"/>
    </row>
    <row r="897">
      <c r="A897" s="127"/>
      <c r="B897" s="107"/>
      <c r="C897" s="126"/>
    </row>
    <row r="898">
      <c r="A898" s="127"/>
      <c r="B898" s="107"/>
      <c r="C898" s="126"/>
    </row>
    <row r="899">
      <c r="A899" s="127"/>
      <c r="B899" s="107"/>
      <c r="C899" s="126"/>
    </row>
    <row r="900">
      <c r="A900" s="127"/>
      <c r="B900" s="107"/>
      <c r="C900" s="126"/>
    </row>
    <row r="901">
      <c r="A901" s="127"/>
      <c r="B901" s="107"/>
      <c r="C901" s="126"/>
    </row>
    <row r="902">
      <c r="A902" s="127"/>
      <c r="B902" s="107"/>
      <c r="C902" s="126"/>
    </row>
    <row r="903">
      <c r="A903" s="127"/>
      <c r="B903" s="107"/>
      <c r="C903" s="126"/>
    </row>
    <row r="904">
      <c r="A904" s="127"/>
      <c r="B904" s="107"/>
      <c r="C904" s="126"/>
    </row>
    <row r="905">
      <c r="A905" s="127"/>
      <c r="B905" s="107"/>
      <c r="C905" s="126"/>
    </row>
    <row r="906">
      <c r="A906" s="127"/>
      <c r="B906" s="107"/>
      <c r="C906" s="126"/>
    </row>
    <row r="907">
      <c r="A907" s="127"/>
      <c r="B907" s="107"/>
      <c r="C907" s="126"/>
    </row>
    <row r="908">
      <c r="A908" s="127"/>
      <c r="B908" s="107"/>
      <c r="C908" s="126"/>
    </row>
    <row r="909">
      <c r="A909" s="127"/>
      <c r="B909" s="107"/>
      <c r="C909" s="126"/>
    </row>
    <row r="910">
      <c r="A910" s="127"/>
      <c r="B910" s="107"/>
      <c r="C910" s="126"/>
    </row>
    <row r="911">
      <c r="A911" s="127"/>
      <c r="B911" s="107"/>
      <c r="C911" s="126"/>
    </row>
    <row r="912">
      <c r="A912" s="127"/>
      <c r="B912" s="107"/>
      <c r="C912" s="126"/>
    </row>
    <row r="913">
      <c r="A913" s="127"/>
      <c r="B913" s="107"/>
      <c r="C913" s="126"/>
    </row>
    <row r="914">
      <c r="A914" s="127"/>
      <c r="B914" s="107"/>
      <c r="C914" s="126"/>
    </row>
    <row r="915">
      <c r="A915" s="127"/>
      <c r="B915" s="107"/>
      <c r="C915" s="126"/>
    </row>
    <row r="916">
      <c r="A916" s="127"/>
      <c r="B916" s="107"/>
      <c r="C916" s="126"/>
    </row>
    <row r="917">
      <c r="A917" s="127"/>
      <c r="B917" s="107"/>
      <c r="C917" s="126"/>
    </row>
    <row r="918">
      <c r="A918" s="127"/>
      <c r="B918" s="107"/>
      <c r="C918" s="126"/>
    </row>
    <row r="919">
      <c r="A919" s="127"/>
      <c r="B919" s="107"/>
      <c r="C919" s="126"/>
    </row>
    <row r="920">
      <c r="A920" s="127"/>
      <c r="B920" s="107"/>
      <c r="C920" s="126"/>
    </row>
    <row r="921">
      <c r="A921" s="127"/>
      <c r="B921" s="107"/>
      <c r="C921" s="126"/>
    </row>
    <row r="922">
      <c r="A922" s="127"/>
      <c r="B922" s="107"/>
      <c r="C922" s="126"/>
    </row>
    <row r="923">
      <c r="A923" s="127"/>
      <c r="B923" s="107"/>
      <c r="C923" s="126"/>
    </row>
    <row r="924">
      <c r="A924" s="127"/>
      <c r="B924" s="107"/>
      <c r="C924" s="126"/>
    </row>
    <row r="925">
      <c r="A925" s="127"/>
      <c r="B925" s="107"/>
      <c r="C925" s="126"/>
    </row>
    <row r="926">
      <c r="A926" s="127"/>
      <c r="B926" s="107"/>
      <c r="C926" s="126"/>
    </row>
    <row r="927">
      <c r="A927" s="127"/>
      <c r="B927" s="107"/>
      <c r="C927" s="126"/>
    </row>
    <row r="928">
      <c r="A928" s="127"/>
      <c r="B928" s="107"/>
      <c r="C928" s="126"/>
    </row>
    <row r="929">
      <c r="A929" s="127"/>
      <c r="B929" s="107"/>
      <c r="C929" s="126"/>
    </row>
    <row r="930">
      <c r="A930" s="127"/>
      <c r="B930" s="107"/>
      <c r="C930" s="126"/>
    </row>
    <row r="931">
      <c r="A931" s="127"/>
      <c r="B931" s="107"/>
      <c r="C931" s="126"/>
    </row>
    <row r="932">
      <c r="A932" s="127"/>
      <c r="B932" s="107"/>
      <c r="C932" s="126"/>
    </row>
    <row r="933">
      <c r="A933" s="127"/>
      <c r="B933" s="107"/>
      <c r="C933" s="126"/>
    </row>
    <row r="934">
      <c r="A934" s="127"/>
      <c r="B934" s="107"/>
      <c r="C934" s="126"/>
    </row>
    <row r="935">
      <c r="A935" s="127"/>
      <c r="B935" s="107"/>
      <c r="C935" s="126"/>
    </row>
    <row r="936">
      <c r="A936" s="127"/>
      <c r="B936" s="107"/>
      <c r="C936" s="126"/>
    </row>
    <row r="937">
      <c r="A937" s="127"/>
      <c r="B937" s="107"/>
      <c r="C937" s="126"/>
    </row>
    <row r="938">
      <c r="A938" s="127"/>
      <c r="B938" s="107"/>
      <c r="C938" s="126"/>
    </row>
    <row r="939">
      <c r="A939" s="127"/>
      <c r="B939" s="107"/>
      <c r="C939" s="126"/>
    </row>
    <row r="940">
      <c r="A940" s="127"/>
      <c r="B940" s="107"/>
      <c r="C940" s="126"/>
    </row>
    <row r="941">
      <c r="A941" s="127"/>
      <c r="B941" s="107"/>
      <c r="C941" s="126"/>
    </row>
    <row r="942">
      <c r="A942" s="127"/>
      <c r="B942" s="107"/>
      <c r="C942" s="126"/>
    </row>
    <row r="943">
      <c r="A943" s="127"/>
      <c r="B943" s="107"/>
      <c r="C943" s="126"/>
    </row>
    <row r="944">
      <c r="A944" s="127"/>
      <c r="B944" s="107"/>
      <c r="C944" s="126"/>
    </row>
    <row r="945">
      <c r="A945" s="127"/>
      <c r="B945" s="107"/>
      <c r="C945" s="126"/>
    </row>
    <row r="946">
      <c r="A946" s="127"/>
      <c r="B946" s="107"/>
      <c r="C946" s="126"/>
    </row>
    <row r="947">
      <c r="A947" s="127"/>
      <c r="B947" s="107"/>
      <c r="C947" s="126"/>
    </row>
    <row r="948">
      <c r="A948" s="127"/>
      <c r="B948" s="107"/>
      <c r="C948" s="126"/>
    </row>
    <row r="949">
      <c r="A949" s="127"/>
      <c r="B949" s="107"/>
      <c r="C949" s="126"/>
    </row>
    <row r="950">
      <c r="A950" s="127"/>
      <c r="B950" s="107"/>
      <c r="C950" s="126"/>
    </row>
    <row r="951">
      <c r="A951" s="127"/>
      <c r="B951" s="107"/>
      <c r="C951" s="126"/>
    </row>
    <row r="952">
      <c r="A952" s="127"/>
      <c r="B952" s="107"/>
      <c r="C952" s="126"/>
    </row>
    <row r="953">
      <c r="A953" s="127"/>
      <c r="B953" s="107"/>
      <c r="C953" s="126"/>
    </row>
    <row r="954">
      <c r="A954" s="127"/>
      <c r="B954" s="107"/>
      <c r="C954" s="126"/>
    </row>
    <row r="955">
      <c r="A955" s="127"/>
      <c r="B955" s="107"/>
      <c r="C955" s="126"/>
    </row>
    <row r="956">
      <c r="A956" s="127"/>
      <c r="B956" s="107"/>
      <c r="C956" s="126"/>
    </row>
    <row r="957">
      <c r="A957" s="127"/>
      <c r="B957" s="107"/>
      <c r="C957" s="126"/>
    </row>
    <row r="958">
      <c r="A958" s="127"/>
      <c r="B958" s="107"/>
      <c r="C958" s="126"/>
    </row>
    <row r="959">
      <c r="A959" s="127"/>
      <c r="B959" s="107"/>
      <c r="C959" s="126"/>
    </row>
    <row r="960">
      <c r="A960" s="127"/>
      <c r="B960" s="107"/>
      <c r="C960" s="126"/>
    </row>
    <row r="961">
      <c r="A961" s="127"/>
      <c r="B961" s="107"/>
      <c r="C961" s="126"/>
    </row>
    <row r="962">
      <c r="A962" s="127"/>
      <c r="B962" s="107"/>
      <c r="C962" s="126"/>
    </row>
    <row r="963">
      <c r="A963" s="127"/>
      <c r="B963" s="107"/>
      <c r="C963" s="126"/>
    </row>
    <row r="964">
      <c r="A964" s="127"/>
      <c r="B964" s="107"/>
      <c r="C964" s="126"/>
    </row>
    <row r="965">
      <c r="A965" s="127"/>
      <c r="B965" s="107"/>
      <c r="C965" s="126"/>
    </row>
    <row r="966">
      <c r="A966" s="127"/>
      <c r="B966" s="107"/>
      <c r="C966" s="126"/>
    </row>
    <row r="967">
      <c r="A967" s="127"/>
      <c r="B967" s="107"/>
      <c r="C967" s="126"/>
    </row>
    <row r="968">
      <c r="A968" s="127"/>
      <c r="B968" s="107"/>
      <c r="C968" s="126"/>
    </row>
    <row r="969">
      <c r="A969" s="127"/>
      <c r="B969" s="107"/>
      <c r="C969" s="126"/>
    </row>
    <row r="970">
      <c r="A970" s="127"/>
      <c r="B970" s="107"/>
      <c r="C970" s="126"/>
    </row>
    <row r="971">
      <c r="A971" s="127"/>
      <c r="B971" s="107"/>
      <c r="C971" s="126"/>
    </row>
    <row r="972">
      <c r="A972" s="127"/>
      <c r="B972" s="107"/>
      <c r="C972" s="126"/>
    </row>
    <row r="973">
      <c r="A973" s="127"/>
      <c r="B973" s="107"/>
      <c r="C973" s="126"/>
    </row>
    <row r="974">
      <c r="A974" s="127"/>
      <c r="B974" s="107"/>
      <c r="C974" s="126"/>
    </row>
    <row r="975">
      <c r="A975" s="127"/>
      <c r="B975" s="107"/>
      <c r="C975" s="126"/>
    </row>
    <row r="976">
      <c r="A976" s="127"/>
      <c r="B976" s="107"/>
      <c r="C976" s="126"/>
    </row>
    <row r="977">
      <c r="A977" s="127"/>
      <c r="B977" s="107"/>
      <c r="C977" s="126"/>
    </row>
    <row r="978">
      <c r="A978" s="127"/>
      <c r="B978" s="107"/>
      <c r="C978" s="126"/>
    </row>
    <row r="979">
      <c r="A979" s="127"/>
      <c r="B979" s="107"/>
      <c r="C979" s="126"/>
    </row>
    <row r="980">
      <c r="A980" s="127"/>
      <c r="B980" s="107"/>
      <c r="C980" s="126"/>
    </row>
    <row r="981">
      <c r="A981" s="127"/>
      <c r="B981" s="107"/>
      <c r="C981" s="126"/>
    </row>
    <row r="982">
      <c r="A982" s="127"/>
      <c r="B982" s="107"/>
      <c r="C982" s="126"/>
    </row>
    <row r="983">
      <c r="A983" s="127"/>
      <c r="B983" s="107"/>
      <c r="C983" s="126"/>
    </row>
    <row r="984">
      <c r="A984" s="127"/>
      <c r="B984" s="107"/>
      <c r="C984" s="126"/>
    </row>
    <row r="985">
      <c r="A985" s="127"/>
      <c r="B985" s="107"/>
      <c r="C985" s="126"/>
    </row>
    <row r="986">
      <c r="A986" s="127"/>
      <c r="B986" s="107"/>
      <c r="C986" s="126"/>
    </row>
    <row r="987">
      <c r="A987" s="127"/>
      <c r="B987" s="107"/>
      <c r="C987" s="126"/>
    </row>
    <row r="988">
      <c r="A988" s="127"/>
      <c r="B988" s="107"/>
      <c r="C988" s="126"/>
    </row>
    <row r="989">
      <c r="A989" s="127"/>
      <c r="B989" s="107"/>
      <c r="C989" s="126"/>
    </row>
    <row r="990">
      <c r="A990" s="127"/>
      <c r="B990" s="107"/>
      <c r="C990" s="126"/>
    </row>
    <row r="991">
      <c r="A991" s="127"/>
      <c r="B991" s="107"/>
      <c r="C991" s="126"/>
    </row>
    <row r="992">
      <c r="A992" s="127"/>
      <c r="B992" s="107"/>
      <c r="C992" s="126"/>
    </row>
    <row r="993">
      <c r="A993" s="127"/>
      <c r="B993" s="107"/>
      <c r="C993" s="126"/>
    </row>
    <row r="994">
      <c r="A994" s="127"/>
      <c r="B994" s="107"/>
      <c r="C994" s="126"/>
    </row>
    <row r="995">
      <c r="A995" s="127"/>
      <c r="B995" s="107"/>
      <c r="C995" s="126"/>
    </row>
    <row r="996">
      <c r="A996" s="127"/>
      <c r="B996" s="107"/>
      <c r="C996" s="126"/>
    </row>
    <row r="997">
      <c r="A997" s="127"/>
      <c r="B997" s="107"/>
      <c r="C997" s="126"/>
    </row>
    <row r="998">
      <c r="A998" s="127"/>
      <c r="B998" s="107"/>
      <c r="C998" s="126"/>
    </row>
    <row r="999">
      <c r="A999" s="127"/>
      <c r="B999" s="107"/>
      <c r="C999" s="126"/>
    </row>
    <row r="1000">
      <c r="A1000" s="127"/>
      <c r="B1000" s="107"/>
      <c r="C1000" s="126"/>
    </row>
    <row r="1001">
      <c r="A1001" s="127"/>
      <c r="B1001" s="107"/>
      <c r="C1001" s="1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/>
  <cols>
    <col customWidth="1" min="1" max="1" width="25.25"/>
    <col min="5" max="69" width="12.63" outlineLevel="1"/>
  </cols>
  <sheetData>
    <row r="1">
      <c r="B1" s="137" t="s">
        <v>354</v>
      </c>
      <c r="C1" s="138" t="s">
        <v>355</v>
      </c>
      <c r="D1" s="139" t="s">
        <v>356</v>
      </c>
      <c r="E1" s="140">
        <v>44061.0</v>
      </c>
      <c r="F1" s="140">
        <v>44092.0</v>
      </c>
      <c r="G1" s="140">
        <v>44122.0</v>
      </c>
      <c r="H1" s="140">
        <v>44153.0</v>
      </c>
      <c r="I1" s="140">
        <v>44183.0</v>
      </c>
      <c r="J1" s="140">
        <v>43849.0</v>
      </c>
      <c r="K1" s="140">
        <v>43515.0</v>
      </c>
      <c r="L1" s="141">
        <v>43909.0</v>
      </c>
      <c r="M1" s="140">
        <v>44305.0</v>
      </c>
      <c r="N1" s="140">
        <v>44700.0</v>
      </c>
      <c r="O1" s="140">
        <v>45096.0</v>
      </c>
      <c r="P1" s="140">
        <v>45492.0</v>
      </c>
      <c r="Q1" s="140">
        <v>45888.0</v>
      </c>
      <c r="R1" s="140">
        <v>46284.0</v>
      </c>
      <c r="S1" s="140">
        <v>46679.0</v>
      </c>
      <c r="T1" s="140">
        <v>47076.0</v>
      </c>
      <c r="U1" s="140">
        <v>47471.0</v>
      </c>
      <c r="V1" s="140">
        <v>43850.0</v>
      </c>
      <c r="W1" s="140">
        <v>43881.0</v>
      </c>
      <c r="X1" s="140">
        <v>43910.0</v>
      </c>
      <c r="Y1" s="140">
        <v>43941.0</v>
      </c>
      <c r="Z1" s="140">
        <v>43971.0</v>
      </c>
      <c r="AA1" s="140">
        <v>44002.0</v>
      </c>
      <c r="AB1" s="140">
        <v>44032.0</v>
      </c>
      <c r="AC1" s="140">
        <v>44063.0</v>
      </c>
      <c r="AD1" s="140">
        <v>44094.0</v>
      </c>
      <c r="AE1" s="140">
        <v>44124.0</v>
      </c>
      <c r="AF1" s="140">
        <v>44155.0</v>
      </c>
      <c r="AG1" s="140">
        <v>44185.0</v>
      </c>
      <c r="AH1" s="140">
        <v>44217.0</v>
      </c>
      <c r="AI1" s="140">
        <v>44248.0</v>
      </c>
      <c r="AJ1" s="142" t="s">
        <v>357</v>
      </c>
      <c r="AK1" s="142" t="s">
        <v>358</v>
      </c>
      <c r="AL1" s="142" t="s">
        <v>359</v>
      </c>
      <c r="AM1" s="142" t="s">
        <v>360</v>
      </c>
      <c r="AN1" s="142" t="s">
        <v>361</v>
      </c>
      <c r="AO1" s="140">
        <v>44429.0</v>
      </c>
      <c r="AP1" s="140">
        <v>44460.0</v>
      </c>
      <c r="AQ1" s="140">
        <v>44490.0</v>
      </c>
      <c r="AR1" s="143" t="s">
        <v>362</v>
      </c>
      <c r="AS1" s="143" t="s">
        <v>363</v>
      </c>
      <c r="AT1" s="143" t="s">
        <v>364</v>
      </c>
      <c r="AU1" s="143" t="s">
        <v>365</v>
      </c>
      <c r="AV1" s="143" t="s">
        <v>366</v>
      </c>
      <c r="AW1" s="143" t="s">
        <v>367</v>
      </c>
      <c r="AX1" s="143" t="s">
        <v>368</v>
      </c>
      <c r="AY1" s="143" t="s">
        <v>369</v>
      </c>
      <c r="AZ1" s="143" t="s">
        <v>370</v>
      </c>
      <c r="BA1" s="143" t="s">
        <v>371</v>
      </c>
      <c r="BB1" s="143" t="s">
        <v>372</v>
      </c>
      <c r="BC1" s="143" t="s">
        <v>373</v>
      </c>
      <c r="BD1" s="143" t="s">
        <v>374</v>
      </c>
      <c r="BE1" s="143" t="s">
        <v>375</v>
      </c>
      <c r="BF1" s="144" t="s">
        <v>376</v>
      </c>
      <c r="BG1" s="144" t="s">
        <v>377</v>
      </c>
      <c r="BH1" s="144" t="s">
        <v>378</v>
      </c>
      <c r="BI1" s="144" t="s">
        <v>379</v>
      </c>
      <c r="BJ1" s="144" t="s">
        <v>380</v>
      </c>
      <c r="BK1" s="144" t="s">
        <v>381</v>
      </c>
      <c r="BL1" s="144" t="s">
        <v>382</v>
      </c>
      <c r="BM1" s="144" t="s">
        <v>383</v>
      </c>
      <c r="BN1" s="144" t="s">
        <v>384</v>
      </c>
      <c r="BO1" s="144" t="s">
        <v>385</v>
      </c>
      <c r="BP1" s="144" t="s">
        <v>386</v>
      </c>
      <c r="BQ1" s="144" t="s">
        <v>387</v>
      </c>
      <c r="BR1" s="145" t="s">
        <v>388</v>
      </c>
      <c r="BS1" s="145" t="s">
        <v>389</v>
      </c>
      <c r="BT1" s="145" t="s">
        <v>390</v>
      </c>
      <c r="BU1" s="145" t="s">
        <v>391</v>
      </c>
      <c r="BV1" s="145" t="s">
        <v>392</v>
      </c>
      <c r="BW1" s="145" t="s">
        <v>393</v>
      </c>
      <c r="BX1" s="145" t="s">
        <v>394</v>
      </c>
      <c r="BY1" s="145" t="s">
        <v>395</v>
      </c>
      <c r="BZ1" s="145" t="s">
        <v>396</v>
      </c>
      <c r="CA1" s="145" t="s">
        <v>397</v>
      </c>
      <c r="CB1" s="145" t="s">
        <v>398</v>
      </c>
      <c r="CC1" s="145" t="s">
        <v>399</v>
      </c>
      <c r="CD1" s="144" t="s">
        <v>400</v>
      </c>
      <c r="CE1" s="144" t="s">
        <v>401</v>
      </c>
      <c r="CF1" s="144" t="s">
        <v>402</v>
      </c>
      <c r="CG1" s="144" t="s">
        <v>403</v>
      </c>
      <c r="CH1" s="144" t="s">
        <v>404</v>
      </c>
      <c r="CI1" s="144" t="s">
        <v>405</v>
      </c>
      <c r="CJ1" s="144" t="s">
        <v>406</v>
      </c>
      <c r="CK1" s="144" t="s">
        <v>407</v>
      </c>
      <c r="CL1" s="144" t="s">
        <v>408</v>
      </c>
      <c r="CM1" s="144" t="s">
        <v>409</v>
      </c>
      <c r="CN1" s="144" t="s">
        <v>410</v>
      </c>
      <c r="CO1" s="144" t="s">
        <v>411</v>
      </c>
      <c r="CP1" s="144" t="s">
        <v>412</v>
      </c>
      <c r="CQ1" s="144"/>
    </row>
    <row r="2">
      <c r="A2" s="146" t="s">
        <v>15</v>
      </c>
      <c r="B2" s="147">
        <f t="shared" ref="B2:B14" si="1">MAX(BN2:ZZ2)</f>
        <v>7400</v>
      </c>
      <c r="C2" s="107">
        <f t="shared" ref="C2:C14" si="2">MIN(AK2:ZZ2)</f>
        <v>6300</v>
      </c>
      <c r="D2" s="126">
        <f t="shared" ref="D2:D14" si="3">AVERAGE(AK2:ZZ2)</f>
        <v>6746.178571</v>
      </c>
      <c r="E2">
        <f>SUMIF(Agosto!$E$5:$E$25,$A2,Agosto!$C$5:$C$25)</f>
        <v>5361</v>
      </c>
      <c r="F2">
        <f>SUMIF(Septiembre!$E$5:$E$25,$A2,Septiembre!$C$5:$C$25)</f>
        <v>5361</v>
      </c>
      <c r="G2">
        <f>SUMIF(octubre!$E$5:E$25,$A2,octubre!$C$5:$C$25)</f>
        <v>5361</v>
      </c>
      <c r="H2">
        <f>SUMIF(noviembre!$E$5:F$25,$A2,noviembre!$C$5:$C$25)</f>
        <v>5361</v>
      </c>
      <c r="I2">
        <f>SUMIF(Diciembre!$E$5:CQ$25,$A2,Diciembre!$C$5:$C$25)</f>
        <v>5361</v>
      </c>
      <c r="J2">
        <f>SUMIF(Enero!$E$5:E$25,$A2,Enero!$C$5:$C$25)</f>
        <v>5361</v>
      </c>
      <c r="K2">
        <f>SUMIF(febrero!$E$5:$E$25,$A2,febrero!$C$5:CQ$25)</f>
        <v>5361</v>
      </c>
      <c r="L2" s="127">
        <f>SUMIF(Marzo!$E$5:$E$25,$A2,Marzo!$C$5:CQ$25)</f>
        <v>5361</v>
      </c>
      <c r="M2">
        <f>SUMIF(Abril!$E$5:$E$25,$A2,Abril!$C$5:CQ$25)</f>
        <v>5361</v>
      </c>
      <c r="N2">
        <f>SUMIF(Mayo!$E$5:$E$25,$A2,Mayo!$C$5:CQ$25)</f>
        <v>5361</v>
      </c>
      <c r="O2">
        <f>SUMIF(Junio!$E$5:$E$25,$A2,Junio!$C$5:CQ$25)</f>
        <v>5361</v>
      </c>
      <c r="P2">
        <f>SUMIF(Julio!$E$5:$E$25,$A2,Julio!$C$5:CQ$25)</f>
        <v>5361</v>
      </c>
      <c r="Q2">
        <f>SUMIF('Agosto 19'!$E$5:$E$23,$A2,'Agosto 19'!$C$5:CQ$25)</f>
        <v>5361</v>
      </c>
      <c r="R2">
        <f>SUMIF('Septiembre 19'!$E$5:$E$23,$A2,'Septiembre 19'!$C$5:CQ$25)</f>
        <v>5361</v>
      </c>
      <c r="S2">
        <f>SUMIF('Octubre 19'!$E$5:$E$23,$A2,'Octubre 19'!$C$5:CQ$25)</f>
        <v>5361</v>
      </c>
      <c r="T2">
        <f>SUMIF('Noviembre 19'!$E$5:$E$23,$A2,'Noviembre 19'!$C$5:CQ$25)</f>
        <v>5361</v>
      </c>
      <c r="U2">
        <f>SUMIF('Diciembre 19'!$E$5:$E$23,$A2,'Diciembre 19'!$C$5:CQ$25)</f>
        <v>5361</v>
      </c>
      <c r="V2">
        <f>SUMIF('Enero 20'!$E$5:$E$23,$A2,'Enero 20'!$C$5:CQ$25)</f>
        <v>5361</v>
      </c>
      <c r="W2">
        <f>SUMIF('Febrero 20'!$E$5:$E$23,$A2,'Febrero 20'!$C$5:CQ$25)</f>
        <v>5990</v>
      </c>
      <c r="X2">
        <f>SUMIF('Marzo 20'!$E$5:$E$23,$A2,'Marzo 20'!$C$5:CQ$25)</f>
        <v>5990</v>
      </c>
      <c r="Y2">
        <f>SUMIF('Abril 20'!$E$5:$E$23,$A2,'Abril 20'!$C$5:CQ$25)</f>
        <v>5990</v>
      </c>
      <c r="Z2">
        <f>SUMIF('Mayo 20'!$E$5:$E$23,$A2,'Mayo 20'!$C$5:CQ$25)</f>
        <v>5990</v>
      </c>
      <c r="AA2">
        <f>SUMIF('Junio 20'!$E$5:$E$23,$A2,'Junio 20'!$C$5:CQ$25)</f>
        <v>5990</v>
      </c>
      <c r="AB2">
        <f>SUMIF('Julio 20'!$E$5:$E$23,$A2,'Julio 20'!$C$5:CQ$25)</f>
        <v>5990</v>
      </c>
      <c r="AC2">
        <f>SUMIF('Agosto 20'!$E$5:$E$23,$A2,'Agosto 20'!$C$5:CQ$25)</f>
        <v>5990</v>
      </c>
      <c r="AD2">
        <f>SUMIF('Septiembre 20'!$E$5:$E$23,$A2,'Septiembre 20'!$C$5:CQ$25)</f>
        <v>5990</v>
      </c>
      <c r="AE2">
        <f>SUMIF('octubre 20'!$E$5:$E$23,$A2,'octubre 20'!$C$5:CQ$25)</f>
        <v>5990</v>
      </c>
      <c r="AF2">
        <f>SUMIF('noviembre 20'!$E$5:$E$23,$A2,'noviembre 20'!$C$5:CQ$25)</f>
        <v>5990</v>
      </c>
      <c r="AG2">
        <f>SUMIF('diciembre 20'!$E$5:$E$23,$A2,'diciembre 20'!$C$5:CQ$25)</f>
        <v>5990</v>
      </c>
      <c r="AH2">
        <f>SUMIF('enero 21'!$E$5:$E$23,$A2,'enero 21'!$C$5:CQ$25)</f>
        <v>6300</v>
      </c>
      <c r="AI2">
        <f>SUMIF('febrero 21'!$E$5:$E$23,$A2,'febrero 21'!$C$5:CQ$25)</f>
        <v>6300</v>
      </c>
      <c r="AJ2">
        <f>SUMIF('marzo 21'!$E$5:$E$23,$A2,'marzo 21'!$C$5:CQ$25)</f>
        <v>6300</v>
      </c>
      <c r="AK2">
        <f>SUMIF('abril 21'!$E$5:$E$23,$A2,'abril 21'!$C$5:CQ$25)</f>
        <v>6300</v>
      </c>
      <c r="AL2">
        <f>SUMIF('mayo 21'!$E$5:$E$23,$A2,'mayo 21'!$C$5:CQ$25)</f>
        <v>6300</v>
      </c>
      <c r="AM2">
        <f>SUMIF('Junio 21'!$E$5:$E$23,$A2,'Junio 21'!$C$5:CQ$25)</f>
        <v>6300</v>
      </c>
      <c r="AN2">
        <f>SUMIF('Julio 21'!$E$5:$E$23,$A2,'Julio 21'!$C$5:CQ$25)</f>
        <v>6300</v>
      </c>
      <c r="AO2">
        <f>SUMIF('Agosto 21'!$E$5:$E$23,$A2,'Agosto 21'!$C$5:CQ$25)</f>
        <v>6300</v>
      </c>
      <c r="AP2">
        <f>SUMIF('Septiembre 21'!$E$5:$E$23,$A2,'Septiembre 21'!$C$5:CQ$25)</f>
        <v>6300</v>
      </c>
      <c r="AQ2">
        <f>SUMIF('Octubre 21'!$E$5:$E$23,$A2,'Octubre 21'!$C$5:CQ$25)</f>
        <v>6300</v>
      </c>
      <c r="AR2">
        <f>SUMIF('Noviembre 21'!$E$5:$E$23,$A2,'Noviembre 21'!$C$5:CQ$25)</f>
        <v>6300</v>
      </c>
      <c r="AS2">
        <f>SUMIF('Diciembre 21'!$E$5:$E$23,$A2,'Noviembre 21'!$C$5:CQ$25)</f>
        <v>6300</v>
      </c>
      <c r="AT2">
        <f>SUMIF('Enero 22'!$E$5:$E$23,$A2,'Enero 22'!$C$5:CQ$25)</f>
        <v>6300</v>
      </c>
      <c r="AU2">
        <f>SUMIF('Febrero 22'!$E$5:$E$23,$A2,'Febrero 22'!$C$5:CQ$25)</f>
        <v>6300</v>
      </c>
      <c r="AV2">
        <f>SUMIF('Marzo 22'!$E$5:$E$23,$A2,'Marzo 22'!$C$5:CQ$25)</f>
        <v>6300</v>
      </c>
      <c r="AW2">
        <f>SUMIF('Abril 22'!$E$5:$E$23,$A2,'Abril 22'!$C$5:CQ$25)</f>
        <v>6300</v>
      </c>
      <c r="AX2">
        <f>SUMIF('Mayo 22'!$E$5:$E$23,$A2,'Mayo 22'!$C$5:CQ$25)</f>
        <v>6300</v>
      </c>
      <c r="AY2">
        <f>SUMIF('Junio 22'!$E$5:$E$23,$A2,'Junio 22'!$C$5:CQ$25)</f>
        <v>6300</v>
      </c>
      <c r="AZ2">
        <f>SUMIF('Julio 22'!$E$5:$E$23,$A2,'Julio 22'!$C$5:CQ$25)</f>
        <v>6300</v>
      </c>
      <c r="BA2">
        <f>SUMIF('Agosto 22'!$E$5:$E$23,$A2,'Agosto 22'!$C$5:CQ$25)</f>
        <v>6300</v>
      </c>
      <c r="BB2">
        <f>SUMIF('septiembre 22'!$E$5:$E$23,$A2,'septiembre 22'!$C$5:CQ$25)</f>
        <v>6300</v>
      </c>
      <c r="BC2">
        <f>SUMIF('octubre 22'!$E$5:$E$23,$A2,'octubre 22'!$C$5:CQ$25)</f>
        <v>6300</v>
      </c>
      <c r="BD2">
        <f>SUMIF('noviembre 22'!$E$5:$E$23,$A2,'noviembre 22'!$C$5:CQ$25)</f>
        <v>6300</v>
      </c>
      <c r="BE2">
        <f>SUMIF('diciembre 22'!$E$5:$E$23,$A2,'noviembre 22'!$C$5:CQ$25)</f>
        <v>6300</v>
      </c>
      <c r="BF2">
        <f>SUMIF('Enero 23'!$E$5:$E$23,$A2,'Enero 23'!$C$5:CQ$25)</f>
        <v>6300</v>
      </c>
      <c r="BG2">
        <f>SUMIF('Febrero 23'!$E$5:$E$23,$A2,'Febrero 23'!$C$5:CQ$25)</f>
        <v>6300</v>
      </c>
      <c r="BH2">
        <f>SUMIF('Marzo 23'!$E$5:$E$23,$A2,'Marzo 23'!$C$5:CQ$25)</f>
        <v>6300</v>
      </c>
      <c r="BI2">
        <f>SUMIF('Abril 23'!$E$5:$E$23,$A2,'Abril 23'!$C$5:CQ$25)</f>
        <v>6300</v>
      </c>
      <c r="BJ2">
        <f>SUMIF('Mayo 23'!$E$5:$E$23,$A2,'Mayo 23'!$C$5:CQ$25)</f>
        <v>6300</v>
      </c>
      <c r="BK2">
        <f>SUMIF('Junio 23'!$E$5:$E$23,$A2,'Junio 23'!$C$5:CQ$25)</f>
        <v>6300</v>
      </c>
      <c r="BL2">
        <f>SUMIF('Julio 23'!$E$5:$E$23,$A2,'Julio 23'!$C$5:CQ$25)</f>
        <v>6300</v>
      </c>
      <c r="BM2">
        <f>SUMIF('Agosto 23'!$E$5:$E$23,$A2,'Agosto 23'!$C$5:CQ$25)</f>
        <v>7400</v>
      </c>
      <c r="BN2">
        <f>SUMIF('Septiembre 23'!$E$5:$E$23,$A2,'Septiembre 23'!$C$5:CQ$25)</f>
        <v>7400</v>
      </c>
      <c r="BO2">
        <f>SUMIF('Octubre 23'!$E$5:$E$23,$A2,'Octubre 23'!$C$5:CQ$25)</f>
        <v>7400</v>
      </c>
      <c r="BP2">
        <f>SUMIF('Noviembre 23'!$E$5:$E$23,$A2,'Noviembre 23'!$C$5:CQ$25)</f>
        <v>7400</v>
      </c>
      <c r="BQ2">
        <f>SUMIF('Diciembre 23'!$E$5:$E$23,$A2,'Diciembre 23'!$C$5:CQ$25)</f>
        <v>7400</v>
      </c>
      <c r="BR2">
        <f>SUMIF('Enero 24'!$E$5:$E$23,$A2,'Enero 24'!$C$5:CQ$25)</f>
        <v>7400</v>
      </c>
      <c r="BS2">
        <f>SUMIF('Febrero 24'!$E$5:$E$23,$A2,'Febrero 24'!$C$5:CQ$25)</f>
        <v>7400</v>
      </c>
      <c r="BT2">
        <f>SUMIF('Marzo 24'!$E$5:$E$23,$A2,'Marzo 24'!$C$5:CQ$25)</f>
        <v>7400</v>
      </c>
      <c r="BU2">
        <f>SUMIF('abril 24'!$E$5:$E$23,$A2,'abril 24'!$C$5:CQ$25)</f>
        <v>7400</v>
      </c>
      <c r="BV2">
        <f>SUMIF('Mayo 24'!$E$5:$E$23,$A2,'Mayo 24'!$C$5:CQ$25)</f>
        <v>7094</v>
      </c>
      <c r="BW2">
        <f>SUMIF('Junio 24'!$E$5:$E$23,$A2,'Junio 24'!$C$5:CQ$25)</f>
        <v>7094</v>
      </c>
      <c r="BX2">
        <f>SUMIF('Julio 24'!$E$5:$E$23,$A2,'Julio 24'!$C$5:CQ$25)</f>
        <v>7094</v>
      </c>
      <c r="BY2">
        <f>SUMIF('Agosto 24'!$E$5:$E$23,$A2,'Agosto 24'!$C$5:CQ$25)</f>
        <v>7094</v>
      </c>
      <c r="BZ2">
        <f>SUMIF('Septiembre 24'!$E$5:$E$23,$A2,'Septiembre 24'!$C$5:CQ$25)</f>
        <v>7094</v>
      </c>
      <c r="CA2">
        <f>SUMIF('Octubre 24'!$E$5:$E$23,$A2,'Octubre 24'!$C$5:CQ$25)</f>
        <v>7094</v>
      </c>
      <c r="CB2">
        <f>SUMIF('Noviembre 24'!$E$5:$E$23,$A2,'Noviembre 24'!$C$5:CQ$25)</f>
        <v>7094</v>
      </c>
      <c r="CC2">
        <f>SUMIF('Diciembre 24'!$E$5:$E$23,$A2,'Diciembre 24'!$C$5:CQ$25)</f>
        <v>7094</v>
      </c>
      <c r="CD2">
        <f>SUMIF('Enero 25'!$E$5:$E$23,$A2,'Enero 25'!$C$5:CQ$25)</f>
        <v>7094</v>
      </c>
      <c r="CE2">
        <f>SUMIF('febrero 25'!$E$5:$E$23,$A2,'febrero 25'!$C$5:CQ$25)</f>
        <v>7094</v>
      </c>
      <c r="CF2">
        <f>SUMIF('marzo 25'!$E$5:$E$23,$A2,'marzo 25'!$C$5:CQ$25)</f>
        <v>7094</v>
      </c>
      <c r="CG2">
        <f>SUMIF('abril 25'!$E$5:$E$23,$A2,'abril 25'!$C$5:CQ$25)</f>
        <v>7094</v>
      </c>
      <c r="CH2">
        <f>SUMIF('Mayo 25'!$E$5:$E$23,$A2,'Mayo 25'!$C$5:CQ$25)</f>
        <v>7094</v>
      </c>
      <c r="CI2">
        <f>SUMIF('Junio 25'!$E$5:$E$23,$A2,'Junio 25'!$C$5:CQ$25)</f>
        <v>7094</v>
      </c>
      <c r="CJ2">
        <f>SUMIF('Julio 25'!$E$5:$E$23,$A2,'Julio 25'!$C$5:CQ$25)</f>
        <v>7094</v>
      </c>
      <c r="CK2">
        <f>SUMIF('Agosto 25'!$E$5:$E$23,$A2,'Agosto 25'!$C$5:CQ$25)</f>
        <v>7094</v>
      </c>
      <c r="CL2">
        <f>SUMIF('Septiembre 25'!$E$5:$E$23,$A2,'Septiembre 25'!$C$5:CQ$25)</f>
        <v>7094</v>
      </c>
      <c r="CM2">
        <f>SUMIF('Octubre 25'!$E$5:$E$23,$A2,'Octubre 25'!$C$5:CQ$25)</f>
        <v>7094</v>
      </c>
      <c r="CN2">
        <f>SUMIF('noviembre 25'!$E$5:$E$23,$A2,'noviembre 25'!$C$5:CQ$25)</f>
        <v>7094</v>
      </c>
    </row>
    <row r="3">
      <c r="A3" s="146" t="s">
        <v>18</v>
      </c>
      <c r="B3" s="147">
        <f t="shared" si="1"/>
        <v>14253</v>
      </c>
      <c r="C3" s="107">
        <f t="shared" si="2"/>
        <v>10700</v>
      </c>
      <c r="D3" s="126">
        <f t="shared" si="3"/>
        <v>11924.94643</v>
      </c>
      <c r="E3">
        <f>SUMIF(Agosto!$E$5:$E$25,$A3,Agosto!$C$5:$C$25)</f>
        <v>7390</v>
      </c>
      <c r="F3">
        <f>SUMIF(Septiembre!$E$5:$E$25,$A3,Septiembre!$C$5:$C$25)</f>
        <v>7390</v>
      </c>
      <c r="G3">
        <f>SUMIF(octubre!$E$5:E$25,$A3,octubre!$C$5:$C$25)</f>
        <v>7390</v>
      </c>
      <c r="H3">
        <f>SUMIF(noviembre!$E$5:F$25,$A3,noviembre!$C$5:$C$25)</f>
        <v>7390</v>
      </c>
      <c r="I3">
        <f>SUMIF(Diciembre!$E$5:CQ$25,$A3,Diciembre!$C$5:$C$25)</f>
        <v>7390</v>
      </c>
      <c r="J3">
        <f>SUMIF(Enero!$E$5:E$25,$A3,Enero!$C$5:$C$25)</f>
        <v>7390</v>
      </c>
      <c r="K3">
        <f>SUMIF(febrero!$E$5:$E$25,$A3,febrero!$C$5:CQ$25)</f>
        <v>7390</v>
      </c>
      <c r="L3" s="127">
        <f>SUMIF(Marzo!$E$5:$E$25,$A3,Marzo!$C$5:CQ$25)</f>
        <v>7390</v>
      </c>
      <c r="M3">
        <f>SUMIF(Abril!$E$5:$E$25,$A3,Abril!$C$5:CQ$25)</f>
        <v>7390</v>
      </c>
      <c r="N3">
        <f>SUMIF(Mayo!$E$5:$E$25,$A3,Mayo!$C$5:CQ$25)</f>
        <v>7390</v>
      </c>
      <c r="O3">
        <f>SUMIF(Junio!$E$5:$E$25,$A3,Junio!$C$5:CQ$25)</f>
        <v>7390</v>
      </c>
      <c r="P3">
        <f>SUMIF(Julio!$E$5:$E$25,$A3,Julio!$C$5:CQ$25)</f>
        <v>7390</v>
      </c>
      <c r="Q3">
        <f>SUMIF('Agosto 19'!$E$5:$E$23,$A3,'Agosto 19'!$C$5:CQ$25)</f>
        <v>7390</v>
      </c>
      <c r="R3">
        <f>SUMIF('Septiembre 19'!$E$5:$E$23,$A3,'Septiembre 19'!$C$5:CQ$25)</f>
        <v>7390</v>
      </c>
      <c r="S3">
        <f>SUMIF('Octubre 19'!$E$5:$E$23,$A3,'Octubre 19'!$C$5:CQ$25)</f>
        <v>7390</v>
      </c>
      <c r="T3">
        <f>SUMIF('Noviembre 19'!$E$5:$E$23,$A3,'Noviembre 19'!$C$5:CQ$25)</f>
        <v>8983.6</v>
      </c>
      <c r="U3">
        <f>SUMIF('Diciembre 19'!$E$5:$E$23,$A3,'Diciembre 19'!$C$5:CQ$25)</f>
        <v>8983.6</v>
      </c>
      <c r="V3">
        <f>SUMIF('Enero 20'!$E$5:$E$23,$A3,'Enero 20'!$C$5:CQ$25)</f>
        <v>8983.6</v>
      </c>
      <c r="W3">
        <f>SUMIF('Febrero 20'!$E$5:$E$23,$A3,'Febrero 20'!$C$5:CQ$25)</f>
        <v>8990</v>
      </c>
      <c r="X3">
        <f>SUMIF('Marzo 20'!$E$5:$E$23,$A3,'Marzo 20'!$C$5:CQ$25)</f>
        <v>8990</v>
      </c>
      <c r="Y3">
        <f>SUMIF('Abril 20'!$E$5:$E$23,$A3,'Abril 20'!$C$5:CQ$25)</f>
        <v>8990</v>
      </c>
      <c r="Z3">
        <f>SUMIF('Mayo 20'!$E$5:$E$23,$A3,'Mayo 20'!$C$5:CQ$25)</f>
        <v>8990</v>
      </c>
      <c r="AA3">
        <f>SUMIF('Junio 20'!$E$5:$E$23,$A3,'Junio 20'!$C$5:CQ$25)</f>
        <v>8990</v>
      </c>
      <c r="AB3">
        <f>SUMIF('Julio 20'!$E$5:$E$23,$A3,'Julio 20'!$C$5:CQ$25)</f>
        <v>8990</v>
      </c>
      <c r="AC3">
        <f>SUMIF('Agosto 20'!$E$5:$E$23,$A3,'Agosto 20'!$C$5:CQ$25)</f>
        <v>10700</v>
      </c>
      <c r="AD3">
        <f>SUMIF('Septiembre 20'!$E$5:$E$23,$A3,'Septiembre 20'!$C$5:CQ$25)</f>
        <v>10700</v>
      </c>
      <c r="AE3">
        <f>SUMIF('octubre 20'!$E$5:$E$23,$A3,'octubre 20'!$C$5:CQ$25)</f>
        <v>10700</v>
      </c>
      <c r="AF3">
        <f>SUMIF('noviembre 20'!$E$5:$E$23,$A3,'noviembre 20'!$C$5:CQ$25)</f>
        <v>10700</v>
      </c>
      <c r="AG3">
        <f>SUMIF('diciembre 20'!$E$5:$E$23,$A3,'diciembre 20'!$C$5:CQ$25)</f>
        <v>10700</v>
      </c>
      <c r="AH3">
        <f>SUMIF('enero 21'!$E$5:$E$23,$A3,'enero 21'!$C$5:CQ$25)</f>
        <v>10700</v>
      </c>
      <c r="AI3">
        <f>SUMIF('febrero 21'!$E$5:$E$23,$A3,'febrero 21'!$C$5:CQ$25)</f>
        <v>10700</v>
      </c>
      <c r="AJ3">
        <f>SUMIF('marzo 21'!$E$5:$E$23,$A3,'marzo 21'!$C$5:CQ$25)</f>
        <v>10700</v>
      </c>
      <c r="AK3">
        <f>SUMIF('abril 21'!$E$5:$E$23,$A3,'abril 21'!$C$5:CQ$25)</f>
        <v>10700</v>
      </c>
      <c r="AL3">
        <f>SUMIF('mayo 21'!$E$5:$E$23,$A3,'mayo 21'!$C$5:CQ$25)</f>
        <v>10700</v>
      </c>
      <c r="AM3">
        <f>SUMIF('Junio 21'!$E$5:$E$23,$A3,'Junio 21'!$C$5:CQ$25)</f>
        <v>10700</v>
      </c>
      <c r="AN3">
        <f>SUMIF('Julio 21'!$E$5:$E$23,$A3,'Julio 21'!$C$5:CQ$25)</f>
        <v>10700</v>
      </c>
      <c r="AO3">
        <f>SUMIF('Agosto 21'!$E$5:$E$23,$A3,'Agosto 21'!$C$5:CQ$25)</f>
        <v>10700</v>
      </c>
      <c r="AP3">
        <f>SUMIF('Septiembre 21'!$E$5:$E$23,$A3,'Septiembre 21'!$C$5:CQ$25)</f>
        <v>10700</v>
      </c>
      <c r="AQ3">
        <f>SUMIF('Octubre 21'!$E$5:$E$23,$A3,'Octubre 21'!$C$5:CQ$25)</f>
        <v>10700</v>
      </c>
      <c r="AR3">
        <f>SUMIF('Noviembre 21'!$E$5:$E$23,$A3,'Noviembre 21'!$C$5:CQ$25)</f>
        <v>10700</v>
      </c>
      <c r="AS3">
        <f>SUMIF('Diciembre 21'!$E$5:$E$23,$A3,'Noviembre 21'!$C$5:CQ$25)</f>
        <v>10700</v>
      </c>
      <c r="AT3">
        <f>SUMIF('Enero 22'!$E$5:$E$23,$A3,'Enero 22'!$C$5:CQ$25)</f>
        <v>10700</v>
      </c>
      <c r="AU3">
        <f>SUMIF('Febrero 22'!$E$5:$E$23,$A3,'Febrero 22'!$C$5:CQ$25)</f>
        <v>10700</v>
      </c>
      <c r="AV3">
        <f>SUMIF('Marzo 22'!$E$5:$E$23,$A3,'Marzo 22'!$C$5:CQ$25)</f>
        <v>10700</v>
      </c>
      <c r="AW3">
        <f>SUMIF('Abril 22'!$E$5:$E$23,$A3,'Abril 22'!$C$5:CQ$25)</f>
        <v>10700</v>
      </c>
      <c r="AX3">
        <f>SUMIF('Mayo 22'!$E$5:$E$23,$A3,'Mayo 22'!$C$5:CQ$25)</f>
        <v>10700</v>
      </c>
      <c r="AY3">
        <f>SUMIF('Junio 22'!$E$5:$E$23,$A3,'Junio 22'!$C$5:CQ$25)</f>
        <v>10700</v>
      </c>
      <c r="AZ3">
        <f>SUMIF('Julio 22'!$E$5:$E$23,$A3,'Julio 22'!$C$5:CQ$25)</f>
        <v>10700</v>
      </c>
      <c r="BA3">
        <f>SUMIF('Agosto 22'!$E$5:$E$23,$A3,'Agosto 22'!$C$5:CQ$25)</f>
        <v>10700</v>
      </c>
      <c r="BB3">
        <f>SUMIF('septiembre 22'!$E$5:$E$23,$A3,'septiembre 22'!$C$5:CQ$25)</f>
        <v>10700</v>
      </c>
      <c r="BC3">
        <f>SUMIF('octubre 22'!$E$5:$E$23,$A3,'octubre 22'!$C$5:CQ$25)</f>
        <v>10700</v>
      </c>
      <c r="BD3">
        <f>SUMIF('noviembre 22'!$E$5:$E$23,$A3,'noviembre 22'!$C$5:CQ$25)</f>
        <v>10700</v>
      </c>
      <c r="BE3">
        <f>SUMIF('diciembre 22'!$E$5:$E$23,$A3,'noviembre 22'!$C$5:CQ$25)</f>
        <v>10700</v>
      </c>
      <c r="BF3">
        <f>SUMIF('Enero 23'!$E$5:$E$23,$A3,'Enero 23'!$C$5:CQ$25)</f>
        <v>10700</v>
      </c>
      <c r="BG3">
        <f>SUMIF('Febrero 23'!$E$5:$E$23,$A3,'Febrero 23'!$C$5:CQ$25)</f>
        <v>10700</v>
      </c>
      <c r="BH3">
        <f>SUMIF('Marzo 23'!$E$5:$E$23,$A3,'Marzo 23'!$C$5:CQ$25)</f>
        <v>10700</v>
      </c>
      <c r="BI3">
        <f>SUMIF('Abril 23'!$E$5:$E$23,$A3,'Abril 23'!$C$5:CQ$25)</f>
        <v>10700</v>
      </c>
      <c r="BJ3">
        <f>SUMIF('Mayo 23'!$E$5:$E$23,$A3,'Mayo 23'!$C$5:CQ$25)</f>
        <v>10700</v>
      </c>
      <c r="BK3">
        <f>SUMIF('Junio 23'!$E$5:$E$23,$A3,'Junio 23'!$C$5:CQ$25)</f>
        <v>10700</v>
      </c>
      <c r="BL3">
        <f>SUMIF('Julio 23'!$E$5:$E$23,$A3,'Julio 23'!$C$5:CQ$25)</f>
        <v>10700</v>
      </c>
      <c r="BM3">
        <f>SUMIF('Agosto 23'!$E$5:$E$23,$A3,'Agosto 23'!$C$5:CQ$25)</f>
        <v>10700</v>
      </c>
      <c r="BN3">
        <f>SUMIF('Septiembre 23'!$E$5:$E$23,$A3,'Septiembre 23'!$C$5:CQ$25)</f>
        <v>10700</v>
      </c>
      <c r="BO3">
        <f>SUMIF('Octubre 23'!$E$5:$E$23,$A3,'Octubre 23'!$C$5:CQ$25)</f>
        <v>10700</v>
      </c>
      <c r="BP3">
        <f>SUMIF('Noviembre 23'!$E$5:$E$23,$A3,'Noviembre 23'!$C$5:CQ$25)</f>
        <v>10700</v>
      </c>
      <c r="BQ3">
        <f>SUMIF('Diciembre 23'!$E$5:$E$23,$A3,'Diciembre 23'!$C$5:CQ$25)</f>
        <v>10700</v>
      </c>
      <c r="BR3">
        <f>SUMIF('Enero 24'!$E$5:$E$23,$A3,'Enero 24'!$C$5:CQ$25)</f>
        <v>10700</v>
      </c>
      <c r="BS3">
        <f>SUMIF('Febrero 24'!$E$5:$E$23,$A3,'Febrero 24'!$C$5:CQ$25)</f>
        <v>10700</v>
      </c>
      <c r="BT3" s="106">
        <v>11790.0</v>
      </c>
      <c r="BU3">
        <f>SUMIF('abril 24'!$E$5:$E$23,$A3,'abril 24'!$C$5:CQ$25)</f>
        <v>10700</v>
      </c>
      <c r="BV3">
        <f>SUMIF('Mayo 24'!$E$5:$E$23,$A3,'Mayo 24'!$C$5:CQ$25)</f>
        <v>14253</v>
      </c>
      <c r="BW3">
        <f>SUMIF('Junio 24'!$E$5:$E$23,$A3,'Junio 24'!$C$5:CQ$25)</f>
        <v>14253</v>
      </c>
      <c r="BX3">
        <f>SUMIF('Julio 24'!$E$5:$E$23,$A3,'Julio 24'!$C$5:CQ$25)</f>
        <v>14253</v>
      </c>
      <c r="BY3">
        <f>SUMIF('Agosto 24'!$E$5:$E$23,$A3,'Agosto 24'!$C$5:CQ$25)</f>
        <v>14253</v>
      </c>
      <c r="BZ3">
        <f>SUMIF('Septiembre 24'!$E$5:$E$23,$A3,'Septiembre 24'!$C$5:CQ$25)</f>
        <v>14253</v>
      </c>
      <c r="CA3">
        <f>SUMIF('Octubre 24'!$E$5:$E$23,$A3,'Octubre 24'!$C$5:CQ$25)</f>
        <v>14253</v>
      </c>
      <c r="CB3">
        <f>SUMIF('Noviembre 24'!$E$5:$E$23,$A3,'Noviembre 24'!$C$5:CQ$25)</f>
        <v>14253</v>
      </c>
      <c r="CC3">
        <f>SUMIF('Diciembre 24'!$E$5:$E$23,$A3,'Diciembre 24'!$C$5:CQ$25)</f>
        <v>14253</v>
      </c>
      <c r="CD3">
        <f>SUMIF('Enero 25'!$E$5:$E$23,$A3,'Enero 25'!$C$5:CQ$25)</f>
        <v>14253</v>
      </c>
      <c r="CE3">
        <f>SUMIF('febrero 25'!$E$5:$E$23,$A3,'febrero 25'!$C$5:CQ$25)</f>
        <v>14253</v>
      </c>
      <c r="CF3">
        <f>SUMIF('marzo 25'!$E$5:$E$23,$A3,'marzo 25'!$C$5:CQ$25)</f>
        <v>14253</v>
      </c>
      <c r="CG3">
        <f>SUMIF('abril 25'!$E$5:$E$23,$A3,'abril 25'!$C$5:CQ$25)</f>
        <v>14253</v>
      </c>
      <c r="CH3">
        <f>SUMIF('Mayo 25'!$E$5:$E$23,$A3,'Mayo 25'!$C$5:CQ$25)</f>
        <v>14253</v>
      </c>
      <c r="CI3">
        <f>SUMIF('Junio 25'!$E$5:$E$23,$A3,'Junio 25'!$C$5:CQ$25)</f>
        <v>14253</v>
      </c>
      <c r="CJ3">
        <f>SUMIF('Julio 25'!$E$5:$E$23,$A3,'Julio 25'!$C$5:CQ$25)</f>
        <v>14253</v>
      </c>
      <c r="CK3">
        <f>SUMIF('Agosto 25'!$E$5:$E$23,$A3,'Agosto 25'!$C$5:CQ$25)</f>
        <v>14253</v>
      </c>
      <c r="CL3">
        <f>SUMIF('Septiembre 25'!$E$5:$E$23,$A3,'Septiembre 25'!$C$5:CQ$25)</f>
        <v>14253</v>
      </c>
      <c r="CM3">
        <f>SUMIF('Octubre 25'!$E$5:$E$23,$A3,'Octubre 25'!$C$5:CQ$25)</f>
        <v>14253</v>
      </c>
      <c r="CN3">
        <f>SUMIF('noviembre 25'!$E$5:$E$23,$A3,'noviembre 25'!$C$5:CQ$25)</f>
        <v>14253</v>
      </c>
    </row>
    <row r="4">
      <c r="A4" s="146" t="s">
        <v>19</v>
      </c>
      <c r="B4" s="147">
        <f t="shared" si="1"/>
        <v>597487.52</v>
      </c>
      <c r="C4" s="107">
        <f t="shared" si="2"/>
        <v>0</v>
      </c>
      <c r="D4" s="126">
        <f t="shared" si="3"/>
        <v>205213.3743</v>
      </c>
      <c r="E4">
        <f>SUMIF(Agosto!$E$5:$E$25,$A4,Agosto!$C$5:$C$25)</f>
        <v>323457</v>
      </c>
      <c r="F4">
        <f>SUMIF(Septiembre!$E$5:$E$25,$A4,Septiembre!$C$5:$C$25)</f>
        <v>179594</v>
      </c>
      <c r="G4">
        <f>SUMIF(octubre!$E$5:E$25,$A4,octubre!$C$5:$C$25)</f>
        <v>198576</v>
      </c>
      <c r="H4">
        <f>SUMIF(noviembre!$E$5:F$25,$A4,noviembre!$C$5:$C$25)</f>
        <v>171902</v>
      </c>
      <c r="I4">
        <f>SUMIF(Diciembre!$E$5:CQ$25,$A4,Diciembre!$C$5:$C$25)</f>
        <v>239690</v>
      </c>
      <c r="J4">
        <f>SUMIF(Enero!$E$5:E$25,$A4,Enero!$C$5:$C$25)</f>
        <v>179779</v>
      </c>
      <c r="K4">
        <f>SUMIF(febrero!$E$5:$E$25,$A4,febrero!$C$5:CQ$25)</f>
        <v>186244</v>
      </c>
      <c r="L4" s="127">
        <f>SUMIF(Marzo!$E$5:$E$25,$A4,Marzo!$C$5:CQ$25)</f>
        <v>189515</v>
      </c>
      <c r="M4">
        <f>SUMIF(Abril!$E$5:$E$25,$A4,Abril!$C$5:CQ$25)</f>
        <v>36309</v>
      </c>
      <c r="N4">
        <f>SUMIF(Mayo!$E$5:$E$25,$A4,Mayo!$C$5:CQ$25)</f>
        <v>85000</v>
      </c>
      <c r="O4">
        <f>SUMIF(Junio!$E$5:$E$25,$A4,Junio!$C$5:CQ$25)</f>
        <v>149585</v>
      </c>
      <c r="P4">
        <f>SUMIF(Julio!$E$5:$E$25,$A4,Julio!$C$5:CQ$25)</f>
        <v>95516</v>
      </c>
      <c r="Q4">
        <f>SUMIF('Agosto 19'!$E$5:$E$23,$A4,'Agosto 19'!$C$5:CQ$25)</f>
        <v>45000</v>
      </c>
      <c r="R4">
        <f>SUMIF('Septiembre 19'!$E$5:$E$23,$A4,'Septiembre 19'!$C$5:CQ$25)</f>
        <v>80000</v>
      </c>
      <c r="S4">
        <f>SUMIF('Octubre 19'!$E$5:$E$23,$A4,'Octubre 19'!$C$5:CQ$25)</f>
        <v>60000</v>
      </c>
      <c r="T4">
        <f>SUMIF('Noviembre 19'!$E$5:$E$23,$A4,'Noviembre 19'!$C$5:CQ$25)</f>
        <v>37330</v>
      </c>
      <c r="U4">
        <f>SUMIF('Diciembre 19'!$E$5:$E$23,$A4,'Diciembre 19'!$C$5:CQ$25)</f>
        <v>105268</v>
      </c>
      <c r="V4">
        <f>SUMIF('Enero 20'!$E$5:$E$23,$A4,'Enero 20'!$C$5:CQ$25)</f>
        <v>105268</v>
      </c>
      <c r="W4">
        <f>SUMIF('Febrero 20'!$E$5:$E$23,$A4,'Febrero 20'!$C$5:CQ$25)</f>
        <v>19765</v>
      </c>
      <c r="X4">
        <f>SUMIF('Marzo 20'!$E$5:$E$23,$A4,'Marzo 20'!$C$5:CQ$25)</f>
        <v>79995</v>
      </c>
      <c r="Y4">
        <f>SUMIF('Abril 20'!$E$5:$E$23,$A4,'Abril 20'!$C$5:CQ$25)</f>
        <v>253396</v>
      </c>
      <c r="Z4">
        <f>SUMIF('Mayo 20'!$E$5:$E$23,$A4,'Mayo 20'!$C$5:CQ$25)</f>
        <v>200000</v>
      </c>
      <c r="AA4">
        <f>SUMIF('Junio 20'!$E$5:$E$23,$A4,'Junio 20'!$C$5:CQ$25)</f>
        <v>233113</v>
      </c>
      <c r="AB4">
        <f>SUMIF('Julio 20'!$E$5:$E$23,$A4,'Julio 20'!$C$5:CQ$25)</f>
        <v>187500</v>
      </c>
      <c r="AC4">
        <f>SUMIF('Agosto 20'!$E$5:$E$23,$A4,'Agosto 20'!$C$5:CQ$25)</f>
        <v>120518</v>
      </c>
      <c r="AD4">
        <f>SUMIF('Septiembre 20'!$E$5:$E$23,$A4,'Septiembre 20'!$C$5:CQ$25)</f>
        <v>230260</v>
      </c>
      <c r="AE4">
        <f>SUMIF('octubre 20'!$E$5:$E$23,$A4,'octubre 20'!$C$5:CQ$25)</f>
        <v>143000</v>
      </c>
      <c r="AF4">
        <f>SUMIF('noviembre 20'!$E$5:$E$23,$A4,'noviembre 20'!$C$5:CQ$25)</f>
        <v>115000</v>
      </c>
      <c r="AG4">
        <f>SUMIF('diciembre 20'!$E$5:$E$23,$A4,'diciembre 20'!$C$5:CQ$25)</f>
        <v>76900</v>
      </c>
      <c r="AH4">
        <f>SUMIF('enero 21'!$E$5:$E$23,$A4,'enero 21'!$C$5:CQ$25)</f>
        <v>115970</v>
      </c>
      <c r="AI4">
        <f>SUMIF('febrero 21'!$E$5:$E$23,$A4,'febrero 21'!$C$5:CQ$25)</f>
        <v>119814</v>
      </c>
      <c r="AJ4">
        <f>SUMIF('marzo 21'!$E$5:$E$23,$A4,'marzo 21'!$C$5:CQ$25)</f>
        <v>133000</v>
      </c>
      <c r="AK4">
        <f>SUMIF('abril 21'!$E$5:$E$23,$A4,'abril 21'!$C$5:CQ$25)</f>
        <v>280400</v>
      </c>
      <c r="AL4">
        <f>SUMIF('mayo 21'!$E$5:$E$23,$A4,'mayo 21'!$C$5:CQ$25)</f>
        <v>231334</v>
      </c>
      <c r="AM4">
        <f>SUMIF('Junio 21'!$E$5:$E$23,$A4,'Junio 21'!$C$5:CQ$25)</f>
        <v>271789</v>
      </c>
      <c r="AN4">
        <f>SUMIF('Julio 21'!$E$5:$E$23,$A4,'Julio 21'!$C$5:CQ$25)</f>
        <v>221452</v>
      </c>
      <c r="AO4">
        <f>SUMIF('Agosto 21'!$E$5:$E$23,$A4,'Agosto 21'!$C$5:CQ$25)</f>
        <v>69710</v>
      </c>
      <c r="AP4">
        <f>SUMIF('Septiembre 21'!$E$5:$E$23,$A4,'Septiembre 21'!$C$5:CQ$25)</f>
        <v>364000</v>
      </c>
      <c r="AQ4">
        <f>SUMIF('Octubre 21'!$E$5:$E$23,$A4,'Octubre 21'!$C$5:CQ$25)</f>
        <v>154762</v>
      </c>
      <c r="AR4">
        <f>SUMIF('Noviembre 21'!$E$5:$E$23,$A4,'Noviembre 21'!$C$5:CQ$25)</f>
        <v>183421</v>
      </c>
      <c r="AS4">
        <f>SUMIF('Diciembre 21'!$E$5:$E$23,$A4,'Noviembre 21'!$C$5:CQ$25)</f>
        <v>183421</v>
      </c>
      <c r="AT4">
        <f>SUMIF('Enero 22'!$E$5:$E$23,$A4,'Enero 22'!$C$5:CQ$25)</f>
        <v>140000</v>
      </c>
      <c r="AU4">
        <f>SUMIF('Febrero 22'!$E$5:$E$23,$A4,'Febrero 22'!$C$5:CQ$25)</f>
        <v>40000</v>
      </c>
      <c r="AV4">
        <f>SUMIF('Marzo 22'!$E$5:$E$23,$A4,'Marzo 22'!$C$5:CQ$25)</f>
        <v>308000</v>
      </c>
      <c r="AW4">
        <f>SUMIF('Abril 22'!$E$5:$E$23,$A4,'Abril 22'!$C$5:CQ$25)</f>
        <v>108000</v>
      </c>
      <c r="AX4">
        <f>SUMIF('Mayo 22'!$E$5:$E$23,$A4,'Mayo 22'!$C$5:CQ$25)</f>
        <v>180000</v>
      </c>
      <c r="AY4">
        <f>SUMIF('Junio 22'!$E$5:$E$23,$A4,'Junio 22'!$C$5:CQ$25)</f>
        <v>100000</v>
      </c>
      <c r="AZ4">
        <f>SUMIF('Julio 22'!$E$5:$E$23,$A4,'Julio 22'!$C$5:CQ$25)</f>
        <v>140000</v>
      </c>
      <c r="BA4">
        <f>SUMIF('Agosto 22'!$E$5:$E$23,$A4,'Agosto 22'!$C$5:CQ$25)</f>
        <v>85000</v>
      </c>
      <c r="BB4">
        <f>SUMIF('septiembre 22'!$E$5:$E$23,$A4,'septiembre 22'!$C$5:CQ$25)</f>
        <v>106000</v>
      </c>
      <c r="BC4">
        <f>SUMIF('octubre 22'!$E$5:$E$23,$A4,'octubre 22'!$C$5:CQ$25)</f>
        <v>158000</v>
      </c>
      <c r="BD4">
        <f>SUMIF('noviembre 22'!$E$5:$E$23,$A4,'noviembre 22'!$C$5:CQ$25)</f>
        <v>125000</v>
      </c>
      <c r="BE4">
        <f>SUMIF('diciembre 22'!$E$5:$E$23,$A4,'noviembre 22'!$C$5:CQ$25)</f>
        <v>125000</v>
      </c>
      <c r="BF4">
        <f>SUMIF('Enero 23'!$E$5:$E$23,$A4,'Enero 23'!$C$5:CQ$25)</f>
        <v>117000</v>
      </c>
      <c r="BG4">
        <f>SUMIF('Febrero 23'!$E$5:$E$23,$A4,'Febrero 23'!$C$5:CQ$25)</f>
        <v>42000</v>
      </c>
      <c r="BH4">
        <f>SUMIF('Marzo 23'!$E$5:$E$23,$A4,'Marzo 23'!$C$5:CQ$25)</f>
        <v>137835</v>
      </c>
      <c r="BI4">
        <f>SUMIF('Abril 23'!$E$5:$E$23,$A4,'Abril 23'!$C$5:CQ$25)</f>
        <v>32600</v>
      </c>
      <c r="BJ4">
        <f>SUMIF('Mayo 23'!$E$5:$E$23,$A4,'Mayo 23'!$C$5:CQ$25)</f>
        <v>140000</v>
      </c>
      <c r="BK4">
        <f>SUMIF('Junio 23'!$E$5:$E$23,$A4,'Junio 23'!$C$5:CQ$25)</f>
        <v>140000</v>
      </c>
      <c r="BL4">
        <f>SUMIF('Julio 23'!$E$5:$E$23,$A4,'Julio 23'!$C$5:CQ$25)</f>
        <v>200000</v>
      </c>
      <c r="BM4">
        <f>SUMIF('Agosto 23'!$E$5:$E$23,$A4,'Agosto 23'!$C$5:CQ$25)</f>
        <v>130000</v>
      </c>
      <c r="BN4">
        <f>SUMIF('Septiembre 23'!$E$5:$E$23,$A4,'Septiembre 23'!$C$5:CQ$25)</f>
        <v>160000</v>
      </c>
      <c r="BO4">
        <f>SUMIF('Octubre 23'!$E$5:$E$23,$A4,'Octubre 23'!$C$5:CQ$25)</f>
        <v>160000</v>
      </c>
      <c r="BP4">
        <f>SUMIF('Noviembre 23'!$E$5:$E$23,$A4,'Noviembre 23'!$C$5:CQ$25)</f>
        <v>160000</v>
      </c>
      <c r="BQ4">
        <f>SUMIF('Diciembre 23'!$E$5:$E$23,$A4,'Diciembre 23'!$C$5:CQ$25)</f>
        <v>160000</v>
      </c>
      <c r="BR4">
        <f>SUMIF('Enero 24'!$E$5:$E$23,$A4,'Enero 24'!$C$5:CQ$25)</f>
        <v>0</v>
      </c>
      <c r="BS4">
        <f>SUMIF('Febrero 24'!$E$5:$E$23,$A4,'Febrero 24'!$C$5:CQ$25)</f>
        <v>70000</v>
      </c>
      <c r="BT4">
        <f>SUMIF('Marzo 24'!$E$5:$E$23,$A4,'Marzo 24'!$C$5:CQ$25)</f>
        <v>70000</v>
      </c>
      <c r="BU4">
        <f>SUMIF('abril 24'!$E$5:$E$23,$A4,'abril 24'!$C$5:CQ$25)</f>
        <v>380000</v>
      </c>
      <c r="BV4">
        <f>SUMIF('Mayo 24'!$E$5:$E$23,$A4,'Mayo 24'!$C$5:CQ$25)</f>
        <v>304902.44</v>
      </c>
      <c r="BW4">
        <f>SUMIF('Junio 24'!$E$5:$E$23,$A4,'Junio 24'!$C$5:CQ$25)</f>
        <v>322000</v>
      </c>
      <c r="BX4">
        <f>SUMIF('Julio 24'!$E$5:$E$23,$A4,'Julio 24'!$C$5:CQ$25)</f>
        <v>112000</v>
      </c>
      <c r="BY4">
        <f>SUMIF('Agosto 24'!$E$5:$E$23,$A4,'Agosto 24'!$C$5:CQ$25)</f>
        <v>321510</v>
      </c>
      <c r="BZ4">
        <f>SUMIF('Septiembre 24'!$E$5:$E$23,$A4,'Septiembre 24'!$C$5:CQ$25)</f>
        <v>396000</v>
      </c>
      <c r="CA4">
        <f>SUMIF('Octubre 24'!$E$5:$E$23,$A4,'Octubre 24'!$C$5:CQ$25)</f>
        <v>597487.52</v>
      </c>
      <c r="CB4">
        <f>SUMIF('Noviembre 24'!$E$5:$E$23,$A4,'Noviembre 24'!$C$5:CQ$25)</f>
        <v>322000</v>
      </c>
      <c r="CC4">
        <f>SUMIF('Diciembre 24'!$E$5:$E$23,$A4,'Diciembre 24'!$C$5:CQ$25)</f>
        <v>202000</v>
      </c>
      <c r="CD4">
        <f>SUMIF('Enero 25'!$E$5:$E$23,$A4,'Enero 25'!$C$5:CQ$25)</f>
        <v>210000</v>
      </c>
      <c r="CE4">
        <f>SUMIF('febrero 25'!$E$5:$E$23,$A4,'febrero 25'!$C$5:CQ$25)</f>
        <v>178000</v>
      </c>
      <c r="CF4">
        <f>SUMIF('marzo 25'!$E$5:$E$23,$A4,'marzo 25'!$C$5:CQ$25)</f>
        <v>327000</v>
      </c>
      <c r="CG4">
        <f>SUMIF('abril 25'!$E$5:$E$23,$A4,'abril 25'!$C$5:CQ$25)</f>
        <v>311000</v>
      </c>
      <c r="CH4">
        <f>SUMIF('Mayo 25'!$E$5:$E$23,$A4,'Mayo 25'!$C$5:CQ$25)</f>
        <v>317500</v>
      </c>
      <c r="CI4">
        <f>SUMIF('Junio 25'!$E$5:$E$23,$A4,'Junio 25'!$C$5:CQ$25)</f>
        <v>354825</v>
      </c>
      <c r="CJ4">
        <f>SUMIF('Julio 25'!$E$5:$E$23,$A4,'Julio 25'!$C$5:CQ$25)</f>
        <v>298000</v>
      </c>
      <c r="CK4">
        <f>SUMIF('Agosto 25'!$E$5:$E$23,$A4,'Agosto 25'!$C$5:CQ$25)</f>
        <v>326000</v>
      </c>
      <c r="CL4">
        <f>SUMIF('Septiembre 25'!$E$5:$E$23,$A4,'Septiembre 25'!$C$5:CQ$25)</f>
        <v>324000</v>
      </c>
      <c r="CM4">
        <f>SUMIF('Octubre 25'!$E$5:$E$23,$A4,'Octubre 25'!$C$5:CQ$25)</f>
        <v>324000</v>
      </c>
      <c r="CN4">
        <f>SUMIF('noviembre 25'!$E$5:$E$23,$A4,'noviembre 25'!$C$5:CQ$25)</f>
        <v>269000</v>
      </c>
    </row>
    <row r="5">
      <c r="A5" s="146" t="s">
        <v>20</v>
      </c>
      <c r="B5" s="147">
        <f t="shared" si="1"/>
        <v>640662.1645</v>
      </c>
      <c r="C5" s="107">
        <f t="shared" si="2"/>
        <v>466000</v>
      </c>
      <c r="D5" s="126">
        <f t="shared" si="3"/>
        <v>615770.0309</v>
      </c>
      <c r="E5">
        <f>SUMIF(Agosto!$E$5:$E$25,$A5,Agosto!$C$5:$C$25)</f>
        <v>580000</v>
      </c>
      <c r="F5">
        <f>SUMIF(Septiembre!$E$5:$E$25,$A5,Septiembre!$C$5:$C$25)</f>
        <v>580000</v>
      </c>
      <c r="G5">
        <f>SUMIF(octubre!$E$5:E$25,$A5,octubre!$C$5:$C$25)</f>
        <v>580000</v>
      </c>
      <c r="H5">
        <f>SUMIF(noviembre!$E$5:F$25,$A5,noviembre!$C$5:$C$25)</f>
        <v>580000</v>
      </c>
      <c r="I5">
        <f>SUMIF(Diciembre!$E$5:CQ$25,$A5,Diciembre!$C$5:$C$25)</f>
        <v>580000</v>
      </c>
      <c r="J5">
        <f>SUMIF(Enero!$E$5:E$25,$A5,Enero!$C$5:$C$25)</f>
        <v>580000</v>
      </c>
      <c r="K5">
        <f>SUMIF(febrero!$E$5:$E$25,$A5,febrero!$C$5:CQ$25)</f>
        <v>586380</v>
      </c>
      <c r="L5" s="127">
        <f>SUMIF(Marzo!$E$5:$E$25,$A5,Marzo!$C$5:CQ$25)</f>
        <v>586380</v>
      </c>
      <c r="M5">
        <f>SUMIF(Abril!$E$5:$E$25,$A5,Abril!$C$5:CQ$25)</f>
        <v>586380</v>
      </c>
      <c r="N5">
        <f>SUMIF(Mayo!$E$5:$E$25,$A5,Mayo!$C$5:CQ$25)</f>
        <v>586380</v>
      </c>
      <c r="O5">
        <f>SUMIF(Junio!$E$5:$E$25,$A5,Junio!$C$5:CQ$25)</f>
        <v>586380</v>
      </c>
      <c r="P5">
        <f>SUMIF(Julio!$E$5:$E$25,$A5,Julio!$C$5:CQ$25)</f>
        <v>586380</v>
      </c>
      <c r="Q5">
        <f>SUMIF('Agosto 19'!$E$5:$E$23,$A5,'Agosto 19'!$C$5:CQ$25)</f>
        <v>586380</v>
      </c>
      <c r="R5">
        <f>SUMIF('Septiembre 19'!$E$5:$E$23,$A5,'Septiembre 19'!$C$5:CQ$25)</f>
        <v>586380</v>
      </c>
      <c r="S5">
        <f>SUMIF('Octubre 19'!$E$5:$E$23,$A5,'Octubre 19'!$C$5:CQ$25)</f>
        <v>586380</v>
      </c>
      <c r="T5">
        <f>SUMIF('Noviembre 19'!$E$5:$E$23,$A5,'Noviembre 19'!$C$5:CQ$25)</f>
        <v>586380</v>
      </c>
      <c r="U5">
        <f>SUMIF('Diciembre 19'!$E$5:$E$23,$A5,'Diciembre 19'!$C$5:CQ$25)</f>
        <v>586380</v>
      </c>
      <c r="V5">
        <f>SUMIF('Enero 20'!$E$5:$E$23,$A5,'Enero 20'!$C$5:CQ$25)</f>
        <v>586380</v>
      </c>
      <c r="W5">
        <f>SUMIF('Febrero 20'!$E$5:$E$23,$A5,'Febrero 20'!$C$5:CQ$25)</f>
        <v>586380</v>
      </c>
      <c r="X5">
        <f>SUMIF('Marzo 20'!$E$5:$E$23,$A5,'Marzo 20'!$C$5:CQ$25)</f>
        <v>586380</v>
      </c>
      <c r="Y5">
        <f>SUMIF('Abril 20'!$E$5:$E$23,$A5,'Abril 20'!$C$5:CQ$25)</f>
        <v>586380</v>
      </c>
      <c r="Z5">
        <f>SUMIF('Mayo 20'!$E$5:$E$23,$A5,'Mayo 20'!$C$5:CQ$25)</f>
        <v>586380</v>
      </c>
      <c r="AA5">
        <f>SUMIF('Junio 20'!$E$5:$E$23,$A5,'Junio 20'!$C$5:CQ$25)</f>
        <v>586380</v>
      </c>
      <c r="AB5">
        <f>SUMIF('Julio 20'!$E$5:$E$23,$A5,'Julio 20'!$C$5:CQ$25)</f>
        <v>586380</v>
      </c>
      <c r="AC5">
        <f>SUMIF('Agosto 20'!$E$5:$E$23,$A5,'Agosto 20'!$C$5:CQ$25)</f>
        <v>586380</v>
      </c>
      <c r="AD5">
        <f>SUMIF('Septiembre 20'!$E$5:$E$23,$A5,'Septiembre 20'!$C$5:CQ$25)</f>
        <v>586380</v>
      </c>
      <c r="AE5">
        <f>SUMIF('octubre 20'!$E$5:$E$23,$A5,'octubre 20'!$C$5:CQ$25)</f>
        <v>586380</v>
      </c>
      <c r="AF5">
        <f>SUMIF('noviembre 20'!$E$5:$E$23,$A5,'noviembre 20'!$C$5:CQ$25)</f>
        <v>586380</v>
      </c>
      <c r="AG5">
        <f>SUMIF('diciembre 20'!$E$5:$E$23,$A5,'diciembre 20'!$C$5:CQ$25)</f>
        <v>586380</v>
      </c>
      <c r="AH5">
        <f>SUMIF('enero 21'!$E$5:$E$23,$A5,'enero 21'!$C$5:CQ$25)</f>
        <v>586380</v>
      </c>
      <c r="AI5">
        <f>SUMIF('febrero 21'!$E$5:$E$23,$A5,'febrero 21'!$C$5:CQ$25)</f>
        <v>550000</v>
      </c>
      <c r="AJ5">
        <f>SUMIF('marzo 21'!$E$5:$E$23,$A5,'marzo 21'!$C$5:CQ$25)</f>
        <v>550000</v>
      </c>
      <c r="AK5">
        <f>SUMIF('abril 21'!$E$5:$E$23,$A5,'abril 21'!$C$5:CQ$25)</f>
        <v>550000</v>
      </c>
      <c r="AL5">
        <f>SUMIF('mayo 21'!$E$5:$E$23,$A5,'mayo 21'!$C$5:CQ$25)</f>
        <v>550000</v>
      </c>
      <c r="AM5">
        <f>SUMIF('Junio 21'!$E$5:$E$23,$A5,'Junio 21'!$C$5:CQ$25)</f>
        <v>466000</v>
      </c>
      <c r="AN5">
        <f>SUMIF('Julio 21'!$E$5:$E$23,$A5,'Julio 21'!$C$5:CQ$25)</f>
        <v>466000</v>
      </c>
      <c r="AO5">
        <f>SUMIF('Agosto 21'!$E$5:$E$23,$A5,'Agosto 21'!$C$5:CQ$25)</f>
        <v>466000</v>
      </c>
      <c r="AP5">
        <f>SUMIF('Septiembre 21'!$E$5:$E$23,$A5,'Septiembre 21'!$C$5:CQ$25)</f>
        <v>466000</v>
      </c>
      <c r="AQ5">
        <f>SUMIF('Octubre 21'!$E$5:$E$23,$A5,'Octubre 21'!$C$5:CQ$25)</f>
        <v>466000</v>
      </c>
      <c r="AR5">
        <f>SUMIF('Noviembre 21'!$E$5:$E$23,$A5,'Noviembre 21'!$C$5:CQ$25)</f>
        <v>471000</v>
      </c>
      <c r="AS5">
        <f>SUMIF('Diciembre 21'!$E$5:$E$23,$A5,'Noviembre 21'!$C$5:CQ$25)</f>
        <v>471000</v>
      </c>
      <c r="AT5">
        <f>SUMIF('Enero 22'!$E$5:$E$23,$A5,'Enero 22'!$C$5:CQ$25)</f>
        <v>640662.1645</v>
      </c>
      <c r="AU5">
        <f>SUMIF('Febrero 22'!$E$5:$E$23,$A5,'Febrero 22'!$C$5:CQ$25)</f>
        <v>640662.1645</v>
      </c>
      <c r="AV5">
        <f>SUMIF('Marzo 22'!$E$5:$E$23,$A5,'Marzo 22'!$C$5:CQ$25)</f>
        <v>640662.1645</v>
      </c>
      <c r="AW5">
        <f>SUMIF('Abril 22'!$E$5:$E$23,$A5,'Abril 22'!$C$5:CQ$25)</f>
        <v>640662.1645</v>
      </c>
      <c r="AX5">
        <f>SUMIF('Mayo 22'!$E$5:$E$23,$A5,'Mayo 22'!$C$5:CQ$25)</f>
        <v>640662.1645</v>
      </c>
      <c r="AY5">
        <f>SUMIF('Junio 22'!$E$5:$E$23,$A5,'Junio 22'!$C$5:CQ$25)</f>
        <v>640662.1645</v>
      </c>
      <c r="AZ5">
        <f>SUMIF('Julio 22'!$E$5:$E$23,$A5,'Julio 22'!$C$5:CQ$25)</f>
        <v>640662.1645</v>
      </c>
      <c r="BA5">
        <f>SUMIF('Agosto 22'!$E$5:$E$23,$A5,'Agosto 22'!$C$5:CQ$25)</f>
        <v>640662.1645</v>
      </c>
      <c r="BB5">
        <f>SUMIF('septiembre 22'!$E$5:$E$23,$A5,'septiembre 22'!$C$5:CQ$25)</f>
        <v>640662.1645</v>
      </c>
      <c r="BC5">
        <f>SUMIF('octubre 22'!$E$5:$E$23,$A5,'octubre 22'!$C$5:CQ$25)</f>
        <v>640662.1645</v>
      </c>
      <c r="BD5">
        <f>SUMIF('noviembre 22'!$E$5:$E$23,$A5,'noviembre 22'!$C$5:CQ$25)</f>
        <v>640662.1645</v>
      </c>
      <c r="BE5">
        <f>SUMIF('diciembre 22'!$E$5:$E$23,$A5,'noviembre 22'!$C$5:CQ$25)</f>
        <v>640662.1645</v>
      </c>
      <c r="BF5">
        <f>SUMIF('Enero 23'!$E$5:$E$23,$A5,'Enero 23'!$C$5:CQ$25)</f>
        <v>640662.1645</v>
      </c>
      <c r="BG5">
        <f>SUMIF('Febrero 23'!$E$5:$E$23,$A5,'Febrero 23'!$C$5:CQ$25)</f>
        <v>640662.1645</v>
      </c>
      <c r="BH5">
        <f>SUMIF('Marzo 23'!$E$5:$E$23,$A5,'Marzo 23'!$C$5:CQ$25)</f>
        <v>640662.1645</v>
      </c>
      <c r="BI5">
        <f>SUMIF('Abril 23'!$E$5:$E$23,$A5,'Abril 23'!$C$5:CQ$25)</f>
        <v>640662.1645</v>
      </c>
      <c r="BJ5">
        <f>SUMIF('Mayo 23'!$E$5:$E$23,$A5,'Mayo 23'!$C$5:CQ$25)</f>
        <v>640662.1645</v>
      </c>
      <c r="BK5">
        <f>SUMIF('Junio 23'!$E$5:$E$23,$A5,'Junio 23'!$C$5:CQ$25)</f>
        <v>640662.1645</v>
      </c>
      <c r="BL5">
        <f>SUMIF('Julio 23'!$E$5:$E$23,$A5,'Julio 23'!$C$5:CQ$25)</f>
        <v>640662.1645</v>
      </c>
      <c r="BM5">
        <f>SUMIF('Agosto 23'!$E$5:$E$23,$A5,'Agosto 23'!$C$5:CQ$25)</f>
        <v>640662.1645</v>
      </c>
      <c r="BN5">
        <f>SUMIF('Septiembre 23'!$E$5:$E$23,$A5,'Septiembre 23'!$C$5:CQ$25)</f>
        <v>640662.1645</v>
      </c>
      <c r="BO5">
        <f>SUMIF('Octubre 23'!$E$5:$E$23,$A5,'Octubre 23'!$C$5:CQ$25)</f>
        <v>640662.1645</v>
      </c>
      <c r="BP5">
        <f>SUMIF('Noviembre 23'!$E$5:$E$23,$A5,'Noviembre 23'!$C$5:CQ$25)</f>
        <v>640662.1645</v>
      </c>
      <c r="BQ5">
        <f>SUMIF('Diciembre 23'!$E$5:$E$23,$A5,'Diciembre 23'!$C$5:CQ$25)</f>
        <v>640662.1645</v>
      </c>
      <c r="BR5">
        <f>SUMIF('Enero 24'!$E$5:$E$23,$A5,'Enero 24'!$C$5:CQ$25)</f>
        <v>640662.1645</v>
      </c>
      <c r="BS5">
        <f>SUMIF('Febrero 24'!$E$5:$E$23,$A5,'Febrero 24'!$C$5:CQ$25)</f>
        <v>640662.1645</v>
      </c>
      <c r="BT5">
        <f>SUMIF('Marzo 24'!$E$5:$E$23,$A5,'Marzo 24'!$C$5:CQ$25)</f>
        <v>640662.1645</v>
      </c>
      <c r="BU5">
        <f>SUMIF('abril 24'!$E$5:$E$23,$A5,'abril 24'!$C$5:CQ$25)</f>
        <v>640662.1645</v>
      </c>
      <c r="BV5">
        <f>SUMIF('Mayo 24'!$E$5:$E$23,$A5,'Mayo 24'!$C$5:CQ$25)</f>
        <v>640662.1645</v>
      </c>
      <c r="BW5">
        <f>SUMIF('Junio 24'!$E$5:$E$23,$A5,'Junio 24'!$C$5:CQ$25)</f>
        <v>640662.1645</v>
      </c>
      <c r="BX5">
        <f>SUMIF('Julio 24'!$E$5:$E$23,$A5,'Julio 24'!$C$5:CQ$25)</f>
        <v>640662.1645</v>
      </c>
      <c r="BY5">
        <f>SUMIF('Agosto 24'!$E$5:$E$23,$A5,'Agosto 24'!$C$5:CQ$25)</f>
        <v>640662.1645</v>
      </c>
      <c r="BZ5">
        <f>SUMIF('Septiembre 24'!$E$5:$E$23,$A5,'Septiembre 24'!$C$5:CQ$25)</f>
        <v>640662.1645</v>
      </c>
      <c r="CA5">
        <f>SUMIF('Octubre 24'!$E$5:$E$23,$A5,'Octubre 24'!$C$5:CQ$25)</f>
        <v>640662.1645</v>
      </c>
      <c r="CB5">
        <f>SUMIF('Noviembre 24'!$E$5:$E$23,$A5,'Noviembre 24'!$C$5:CQ$25)</f>
        <v>640662.1645</v>
      </c>
      <c r="CC5">
        <f>SUMIF('Diciembre 24'!$E$5:$E$23,$A5,'Diciembre 24'!$C$5:CQ$25)</f>
        <v>640662.1645</v>
      </c>
      <c r="CD5">
        <f>SUMIF('Enero 25'!$E$5:$E$23,$A5,'Enero 25'!$C$5:CQ$25)</f>
        <v>640662.1645</v>
      </c>
      <c r="CE5">
        <f>SUMIF('febrero 25'!$E$5:$E$23,$A5,'febrero 25'!$C$5:CQ$25)</f>
        <v>640662.1645</v>
      </c>
      <c r="CF5">
        <f>SUMIF('marzo 25'!$E$5:$E$23,$A5,'marzo 25'!$C$5:CQ$25)</f>
        <v>640662.1645</v>
      </c>
      <c r="CG5">
        <f>SUMIF('abril 25'!$E$5:$E$23,$A5,'abril 25'!$C$5:CQ$25)</f>
        <v>640662.1645</v>
      </c>
      <c r="CH5">
        <f>SUMIF('Mayo 25'!$E$5:$E$23,$A5,'Mayo 25'!$C$5:CQ$25)</f>
        <v>640662.1645</v>
      </c>
      <c r="CI5">
        <f>SUMIF('Junio 25'!$E$5:$E$23,$A5,'Junio 25'!$C$5:CQ$25)</f>
        <v>640662.1645</v>
      </c>
      <c r="CJ5">
        <f>SUMIF('Julio 25'!$E$5:$E$23,$A5,'Julio 25'!$C$5:CQ$25)</f>
        <v>640662.1645</v>
      </c>
      <c r="CK5">
        <f>SUMIF('Agosto 25'!$E$5:$E$23,$A5,'Agosto 25'!$C$5:CQ$25)</f>
        <v>640662.1645</v>
      </c>
      <c r="CL5">
        <f>SUMIF('Septiembre 25'!$E$5:$E$23,$A5,'Septiembre 25'!$C$5:CQ$25)</f>
        <v>640662.1645</v>
      </c>
      <c r="CM5">
        <f>SUMIF('Octubre 25'!$E$5:$E$23,$A5,'Octubre 25'!$C$5:CQ$25)</f>
        <v>640662.1645</v>
      </c>
      <c r="CN5">
        <f>SUMIF('noviembre 25'!$E$5:$E$23,$A5,'noviembre 25'!$C$5:CQ$25)</f>
        <v>640662.1645</v>
      </c>
    </row>
    <row r="6">
      <c r="A6" s="146" t="s">
        <v>21</v>
      </c>
      <c r="B6" s="147">
        <f t="shared" si="1"/>
        <v>270000</v>
      </c>
      <c r="C6" s="107">
        <f t="shared" si="2"/>
        <v>144056</v>
      </c>
      <c r="D6" s="126">
        <f t="shared" si="3"/>
        <v>202150.4643</v>
      </c>
      <c r="E6">
        <f>SUMIF(Agosto!$E$5:$E$25,$A6,Agosto!$C$5:$C$25)</f>
        <v>150000</v>
      </c>
      <c r="F6">
        <f>SUMIF(Septiembre!$E$5:$E$25,$A6,Septiembre!$C$5:$C$25)</f>
        <v>163601</v>
      </c>
      <c r="G6">
        <f>SUMIF(octubre!$E$5:E$25,$A6,octubre!$C$5:$C$25)</f>
        <v>129087</v>
      </c>
      <c r="H6">
        <f>SUMIF(noviembre!$E$5:F$25,$A6,noviembre!$C$5:$C$25)</f>
        <v>147120</v>
      </c>
      <c r="I6">
        <f>SUMIF(Diciembre!$E$5:CQ$25,$A6,Diciembre!$C$5:$C$25)</f>
        <v>134136</v>
      </c>
      <c r="J6">
        <f>SUMIF(Enero!$E$5:E$25,$A6,Enero!$C$5:$C$25)</f>
        <v>114748</v>
      </c>
      <c r="K6">
        <f>SUMIF(febrero!$E$5:$E$25,$A6,febrero!$C$5:CQ$25)</f>
        <v>115626</v>
      </c>
      <c r="L6" s="127">
        <f>SUMIF(Marzo!$E$5:$E$25,$A6,Marzo!$C$5:CQ$25)</f>
        <v>125210</v>
      </c>
      <c r="M6">
        <f>SUMIF(Abril!$E$5:$E$25,$A6,Abril!$C$5:CQ$25)</f>
        <v>145000</v>
      </c>
      <c r="N6">
        <f>SUMIF(Mayo!$E$5:$E$25,$A6,Mayo!$C$5:CQ$25)</f>
        <v>141000</v>
      </c>
      <c r="O6">
        <f>SUMIF(Junio!$E$5:$E$25,$A6,Junio!$C$5:CQ$25)</f>
        <v>126159</v>
      </c>
      <c r="P6">
        <f>SUMIF(Julio!$E$5:$E$25,$A6,Julio!$C$5:CQ$25)</f>
        <v>157201</v>
      </c>
      <c r="Q6">
        <f>SUMIF('Agosto 19'!$E$5:$E$23,$A6,'Agosto 19'!$C$5:CQ$25)</f>
        <v>174538</v>
      </c>
      <c r="R6">
        <f>SUMIF('Septiembre 19'!$E$5:$E$23,$A6,'Septiembre 19'!$C$5:CQ$25)</f>
        <v>137822</v>
      </c>
      <c r="S6">
        <f>SUMIF('Octubre 19'!$E$5:$E$23,$A6,'Octubre 19'!$C$5:CQ$25)</f>
        <v>192128</v>
      </c>
      <c r="T6">
        <f>SUMIF('Noviembre 19'!$E$5:$E$23,$A6,'Noviembre 19'!$C$5:CQ$25)</f>
        <v>129148</v>
      </c>
      <c r="U6">
        <f>SUMIF('Diciembre 19'!$E$5:$E$23,$A6,'Diciembre 19'!$C$5:CQ$25)</f>
        <v>111989</v>
      </c>
      <c r="V6">
        <f>SUMIF('Enero 20'!$E$5:$E$23,$A6,'Enero 20'!$C$5:CQ$25)</f>
        <v>124389</v>
      </c>
      <c r="W6">
        <f>SUMIF('Febrero 20'!$E$5:$E$23,$A6,'Febrero 20'!$C$5:CQ$25)</f>
        <v>96394</v>
      </c>
      <c r="X6">
        <f>SUMIF('Marzo 20'!$E$5:$E$23,$A6,'Marzo 20'!$C$5:CQ$25)</f>
        <v>110457</v>
      </c>
      <c r="Y6">
        <f>SUMIF('Abril 20'!$E$5:$E$23,$A6,'Abril 20'!$C$5:CQ$25)</f>
        <v>110355</v>
      </c>
      <c r="Z6">
        <f>SUMIF('Mayo 20'!$E$5:$E$23,$A6,'Mayo 20'!$C$5:CQ$25)</f>
        <v>116014</v>
      </c>
      <c r="AA6">
        <f>SUMIF('Junio 20'!$E$5:$E$23,$A6,'Junio 20'!$C$5:CQ$25)</f>
        <v>120891</v>
      </c>
      <c r="AB6">
        <f>SUMIF('Julio 20'!$E$5:$E$23,$A6,'Julio 20'!$C$5:CQ$25)</f>
        <v>146308</v>
      </c>
      <c r="AC6">
        <f>SUMIF('Agosto 20'!$E$5:$E$23,$A6,'Agosto 20'!$C$5:CQ$25)</f>
        <v>166549</v>
      </c>
      <c r="AD6">
        <f>SUMIF('Septiembre 20'!$E$5:$E$23,$A6,'Septiembre 20'!$C$5:CQ$25)</f>
        <v>140181</v>
      </c>
      <c r="AE6">
        <f>SUMIF('octubre 20'!$E$5:$E$23,$A6,'octubre 20'!$C$5:CQ$25)</f>
        <v>121609</v>
      </c>
      <c r="AF6">
        <f>SUMIF('noviembre 20'!$E$5:$E$23,$A6,'noviembre 20'!$C$5:CQ$25)</f>
        <v>117535</v>
      </c>
      <c r="AG6">
        <f>SUMIF('diciembre 20'!$E$5:$E$23,$A6,'diciembre 20'!$C$5:CQ$25)</f>
        <v>126117</v>
      </c>
      <c r="AH6">
        <f>SUMIF('enero 21'!$E$5:$E$23,$A6,'enero 21'!$C$5:CQ$25)</f>
        <v>138100</v>
      </c>
      <c r="AI6">
        <f>SUMIF('febrero 21'!$E$5:$E$23,$A6,'febrero 21'!$C$5:CQ$25)</f>
        <v>116051</v>
      </c>
      <c r="AJ6">
        <f>SUMIF('marzo 21'!$E$5:$E$23,$A6,'marzo 21'!$C$5:CQ$25)</f>
        <v>135000</v>
      </c>
      <c r="AK6">
        <f>SUMIF('abril 21'!$E$5:$E$23,$A6,'abril 21'!$C$5:CQ$25)</f>
        <v>144056</v>
      </c>
      <c r="AL6">
        <f>SUMIF('mayo 21'!$E$5:$E$23,$A6,'mayo 21'!$C$5:CQ$25)</f>
        <v>161513</v>
      </c>
      <c r="AM6">
        <f>SUMIF('Junio 21'!$E$5:$E$23,$A6,'Junio 21'!$C$5:CQ$25)</f>
        <v>171383</v>
      </c>
      <c r="AN6">
        <f>SUMIF('Julio 21'!$E$5:$E$23,$A6,'Julio 21'!$C$5:CQ$25)</f>
        <v>162615</v>
      </c>
      <c r="AO6">
        <f>SUMIF('Agosto 21'!$E$5:$E$23,$A6,'Agosto 21'!$C$5:CQ$25)</f>
        <v>174074</v>
      </c>
      <c r="AP6">
        <f>SUMIF('Septiembre 21'!$E$5:$E$23,$A6,'Septiembre 21'!$C$5:CQ$25)</f>
        <v>177519</v>
      </c>
      <c r="AQ6">
        <f>SUMIF('Octubre 21'!$E$5:$E$23,$A6,'Octubre 21'!$C$5:CQ$25)</f>
        <v>168795</v>
      </c>
      <c r="AR6">
        <f>SUMIF('Noviembre 21'!$E$5:$E$23,$A6,'Noviembre 21'!$C$5:CQ$25)</f>
        <v>180954</v>
      </c>
      <c r="AS6">
        <f>SUMIF('Diciembre 21'!$E$5:$E$23,$A6,'Noviembre 21'!$C$5:CQ$25)</f>
        <v>180954</v>
      </c>
      <c r="AT6">
        <f>SUMIF('Enero 22'!$E$5:$E$23,$A6,'Enero 22'!$C$5:CQ$25)</f>
        <v>156000</v>
      </c>
      <c r="AU6">
        <f>SUMIF('Febrero 22'!$E$5:$E$23,$A6,'Febrero 22'!$C$5:CQ$25)</f>
        <v>167592</v>
      </c>
      <c r="AV6">
        <f>SUMIF('Marzo 22'!$E$5:$E$23,$A6,'Marzo 22'!$C$5:CQ$25)</f>
        <v>177531</v>
      </c>
      <c r="AW6">
        <f>SUMIF('Abril 22'!$E$5:$E$23,$A6,'Abril 22'!$C$5:CQ$25)</f>
        <v>168060</v>
      </c>
      <c r="AX6">
        <f>SUMIF('Mayo 22'!$E$5:$E$23,$A6,'Mayo 22'!$C$5:CQ$25)</f>
        <v>172675</v>
      </c>
      <c r="AY6">
        <f>SUMIF('Junio 22'!$E$5:$E$23,$A6,'Junio 22'!$C$5:CQ$25)</f>
        <v>173865</v>
      </c>
      <c r="AZ6">
        <f>SUMIF('Julio 22'!$E$5:$E$23,$A6,'Julio 22'!$C$5:CQ$25)</f>
        <v>178915</v>
      </c>
      <c r="BA6">
        <f>SUMIF('Agosto 22'!$E$5:$E$23,$A6,'Agosto 22'!$C$5:CQ$25)</f>
        <v>181886</v>
      </c>
      <c r="BB6">
        <f>SUMIF('septiembre 22'!$E$5:$E$23,$A6,'septiembre 22'!$C$5:CQ$25)</f>
        <v>181886</v>
      </c>
      <c r="BC6">
        <f>SUMIF('octubre 22'!$E$5:$E$23,$A6,'octubre 22'!$C$5:CQ$25)</f>
        <v>199000</v>
      </c>
      <c r="BD6">
        <f>SUMIF('noviembre 22'!$E$5:$E$23,$A6,'noviembre 22'!$C$5:CQ$25)</f>
        <v>178421</v>
      </c>
      <c r="BE6">
        <f>SUMIF('diciembre 22'!$E$5:$E$23,$A6,'noviembre 22'!$C$5:CQ$25)</f>
        <v>178421</v>
      </c>
      <c r="BF6">
        <f>SUMIF('Enero 23'!$E$5:$E$23,$A6,'Enero 23'!$C$5:CQ$25)</f>
        <v>189369</v>
      </c>
      <c r="BG6">
        <f>SUMIF('Febrero 23'!$E$5:$E$23,$A6,'Febrero 23'!$C$5:CQ$25)</f>
        <v>172569</v>
      </c>
      <c r="BH6">
        <f>SUMIF('Marzo 23'!$E$5:$E$23,$A6,'Marzo 23'!$C$5:CQ$25)</f>
        <v>197555</v>
      </c>
      <c r="BI6">
        <f>SUMIF('Abril 23'!$E$5:$E$23,$A6,'Abril 23'!$C$5:CQ$25)</f>
        <v>184711</v>
      </c>
      <c r="BJ6">
        <f>SUMIF('Mayo 23'!$E$5:$E$23,$A6,'Mayo 23'!$C$5:CQ$25)</f>
        <v>194071</v>
      </c>
      <c r="BK6">
        <f>SUMIF('Junio 23'!$E$5:$E$23,$A6,'Junio 23'!$C$5:CQ$25)</f>
        <v>184071</v>
      </c>
      <c r="BL6">
        <f>SUMIF('Julio 23'!$E$5:$E$23,$A6,'Julio 23'!$C$5:CQ$25)</f>
        <v>177929</v>
      </c>
      <c r="BM6">
        <f>SUMIF('Agosto 23'!$E$5:$E$23,$A6,'Agosto 23'!$C$5:CQ$25)</f>
        <v>209199</v>
      </c>
      <c r="BN6">
        <f>SUMIF('Septiembre 23'!$E$5:$E$23,$A6,'Septiembre 23'!$C$5:CQ$25)</f>
        <v>208199</v>
      </c>
      <c r="BO6">
        <f>SUMIF('Octubre 23'!$E$5:$E$23,$A6,'Octubre 23'!$C$5:CQ$25)</f>
        <v>214783</v>
      </c>
      <c r="BP6">
        <f>SUMIF('Noviembre 23'!$E$5:$E$23,$A6,'Noviembre 23'!$C$5:CQ$25)</f>
        <v>218783</v>
      </c>
      <c r="BQ6">
        <f>SUMIF('Diciembre 23'!$E$5:$E$23,$A6,'Diciembre 23'!$C$5:CQ$25)</f>
        <v>235877</v>
      </c>
      <c r="BR6">
        <f>SUMIF('Enero 24'!$E$5:$E$23,$A6,'Enero 24'!$C$5:CQ$25)</f>
        <v>225877</v>
      </c>
      <c r="BS6">
        <f>SUMIF('Febrero 24'!$E$5:$E$23,$A6,'Febrero 24'!$C$5:CQ$25)</f>
        <v>225877</v>
      </c>
      <c r="BT6">
        <f>SUMIF('Marzo 24'!$E$5:$E$23,$A6,'Marzo 24'!$C$5:CQ$25)</f>
        <v>230877</v>
      </c>
      <c r="BU6">
        <f>SUMIF('abril 24'!$E$5:$E$23,$A6,'abril 24'!$C$5:CQ$25)</f>
        <v>216000</v>
      </c>
      <c r="BV6">
        <f>SUMIF('Mayo 24'!$E$5:$E$23,$A6,'Mayo 24'!$C$5:CQ$25)</f>
        <v>226964</v>
      </c>
      <c r="BW6">
        <f>SUMIF('Junio 24'!$E$5:$E$23,$A6,'Junio 24'!$C$5:CQ$25)</f>
        <v>234964</v>
      </c>
      <c r="BX6">
        <f>SUMIF('Julio 24'!$E$5:$E$23,$A6,'Julio 24'!$C$5:CQ$25)</f>
        <v>252000</v>
      </c>
      <c r="BY6">
        <f>SUMIF('Agosto 24'!$E$5:$E$23,$A6,'Agosto 24'!$C$5:CQ$25)</f>
        <v>251000</v>
      </c>
      <c r="BZ6">
        <f>SUMIF('Septiembre 24'!$E$5:$E$23,$A6,'Septiembre 24'!$C$5:CQ$25)</f>
        <v>252000</v>
      </c>
      <c r="CA6">
        <f>SUMIF('Octubre 24'!$E$5:$E$23,$A6,'Octubre 24'!$C$5:CQ$25)</f>
        <v>227000</v>
      </c>
      <c r="CB6">
        <f>SUMIF('Noviembre 24'!$E$5:$E$23,$A6,'Noviembre 24'!$C$5:CQ$25)</f>
        <v>250000</v>
      </c>
      <c r="CC6">
        <f>SUMIF('Diciembre 24'!$E$5:$E$23,$A6,'Diciembre 24'!$C$5:CQ$25)</f>
        <v>250000</v>
      </c>
      <c r="CD6">
        <f>SUMIF('Enero 25'!$E$5:$E$23,$A6,'Enero 25'!$C$5:CQ$25)</f>
        <v>217636</v>
      </c>
      <c r="CE6">
        <f>SUMIF('febrero 25'!$E$5:$E$23,$A6,'febrero 25'!$C$5:CQ$25)</f>
        <v>195000</v>
      </c>
      <c r="CF6">
        <f>SUMIF('marzo 25'!$E$5:$E$23,$A6,'marzo 25'!$C$5:CQ$25)</f>
        <v>181000</v>
      </c>
      <c r="CG6">
        <f>SUMIF('abril 25'!$E$5:$E$23,$A6,'abril 25'!$C$5:CQ$25)</f>
        <v>210000</v>
      </c>
      <c r="CH6">
        <f>SUMIF('Mayo 25'!$E$5:$E$23,$A6,'Mayo 25'!$C$5:CQ$25)</f>
        <v>240000</v>
      </c>
      <c r="CI6">
        <f>SUMIF('Junio 25'!$E$5:$E$23,$A6,'Junio 25'!$C$5:CQ$25)</f>
        <v>196000</v>
      </c>
      <c r="CJ6">
        <f>SUMIF('Julio 25'!$E$5:$E$23,$A6,'Julio 25'!$C$5:CQ$25)</f>
        <v>225000</v>
      </c>
      <c r="CK6">
        <f>SUMIF('Agosto 25'!$E$5:$E$23,$A6,'Agosto 25'!$C$5:CQ$25)</f>
        <v>270000</v>
      </c>
      <c r="CL6">
        <f>SUMIF('Septiembre 25'!$E$5:$E$23,$A6,'Septiembre 25'!$C$5:CQ$25)</f>
        <v>240000</v>
      </c>
      <c r="CM6">
        <f>SUMIF('Octubre 25'!$E$5:$E$23,$A6,'Octubre 25'!$C$5:CQ$25)</f>
        <v>240000</v>
      </c>
      <c r="CN6">
        <f>SUMIF('noviembre 25'!$E$5:$E$23,$A6,'noviembre 25'!$C$5:CQ$25)</f>
        <v>240000</v>
      </c>
    </row>
    <row r="7">
      <c r="A7" s="146" t="s">
        <v>22</v>
      </c>
      <c r="B7" s="147">
        <f t="shared" si="1"/>
        <v>111000</v>
      </c>
      <c r="C7" s="107">
        <f t="shared" si="2"/>
        <v>0</v>
      </c>
      <c r="D7" s="126">
        <f t="shared" si="3"/>
        <v>62428.57143</v>
      </c>
      <c r="E7">
        <f>SUMIF(Agosto!$E$5:$E$25,$A7,Agosto!$C$5:$C$25)</f>
        <v>0</v>
      </c>
      <c r="F7">
        <f>SUMIF(Septiembre!$E$5:$E$25,$A7,Septiembre!$C$5:$C$25)</f>
        <v>0</v>
      </c>
      <c r="G7">
        <f>SUMIF(octubre!$E$5:E$25,$A7,octubre!$C$5:$C$25)</f>
        <v>65000</v>
      </c>
      <c r="H7">
        <f>SUMIF(noviembre!$E$5:F$25,$A7,noviembre!$C$5:$C$25)</f>
        <v>35000</v>
      </c>
      <c r="I7">
        <f>SUMIF(Diciembre!$E$5:CQ$25,$A7,Diciembre!$C$5:$C$25)</f>
        <v>65000</v>
      </c>
      <c r="J7">
        <f>SUMIF(Enero!$E$5:E$25,$A7,Enero!$C$5:$C$25)</f>
        <v>104175</v>
      </c>
      <c r="K7">
        <f>SUMIF(febrero!$E$5:$E$25,$A7,febrero!$C$5:CQ$25)</f>
        <v>80000</v>
      </c>
      <c r="L7" s="127">
        <f>SUMIF(Marzo!$E$5:$E$25,$A7,Marzo!$C$5:CQ$25)</f>
        <v>80000</v>
      </c>
      <c r="M7">
        <f>SUMIF(Abril!$E$5:$E$25,$A7,Abril!$C$5:CQ$25)</f>
        <v>80000</v>
      </c>
      <c r="N7">
        <f>SUMIF(Mayo!$E$5:$E$25,$A7,Mayo!$C$5:CQ$25)</f>
        <v>60000</v>
      </c>
      <c r="O7">
        <f>SUMIF(Junio!$E$5:$E$25,$A7,Junio!$C$5:CQ$25)</f>
        <v>40000</v>
      </c>
      <c r="P7">
        <f>SUMIF(Julio!$E$5:$E$25,$A7,Julio!$C$5:CQ$25)</f>
        <v>40000</v>
      </c>
      <c r="Q7">
        <f>SUMIF('Agosto 19'!$E$5:$E$23,$A7,'Agosto 19'!$C$5:CQ$25)</f>
        <v>60000</v>
      </c>
      <c r="R7">
        <f>SUMIF('Septiembre 19'!$E$5:$E$23,$A7,'Septiembre 19'!$C$5:CQ$25)</f>
        <v>60000</v>
      </c>
      <c r="S7">
        <f>SUMIF('Octubre 19'!$E$5:$E$23,$A7,'Octubre 19'!$C$5:CQ$25)</f>
        <v>20000</v>
      </c>
      <c r="T7">
        <f>SUMIF('Noviembre 19'!$E$5:$E$23,$A7,'Noviembre 19'!$C$5:CQ$25)</f>
        <v>40000</v>
      </c>
      <c r="U7">
        <f>SUMIF('Diciembre 19'!$E$5:$E$23,$A7,'Diciembre 19'!$C$5:CQ$25)</f>
        <v>40000</v>
      </c>
      <c r="V7">
        <f>SUMIF('Enero 20'!$E$5:$E$23,$A7,'Enero 20'!$C$5:CQ$25)</f>
        <v>50000</v>
      </c>
      <c r="W7">
        <f>SUMIF('Febrero 20'!$E$5:$E$23,$A7,'Febrero 20'!$C$5:CQ$25)</f>
        <v>40000</v>
      </c>
      <c r="X7">
        <f>SUMIF('Marzo 20'!$E$5:$E$23,$A7,'Marzo 20'!$C$5:CQ$25)</f>
        <v>40000</v>
      </c>
      <c r="Y7">
        <f>SUMIF('Abril 20'!$E$5:$E$23,$A7,'Abril 20'!$C$5:CQ$25)</f>
        <v>0</v>
      </c>
      <c r="Z7">
        <f>SUMIF('Mayo 20'!$E$5:$E$23,$A7,'Mayo 20'!$C$5:CQ$25)</f>
        <v>0</v>
      </c>
      <c r="AA7" s="106">
        <v>0.0</v>
      </c>
      <c r="AB7">
        <f>SUMIF('Julio 20'!$E$5:$E$23,$A7,'Julio 20'!$C$5:CQ$25)</f>
        <v>60000</v>
      </c>
      <c r="AC7">
        <f>SUMIF('Agosto 20'!$E$5:$E$23,$A7,'Agosto 20'!$C$5:CQ$25)</f>
        <v>60000</v>
      </c>
      <c r="AD7">
        <f>SUMIF('Septiembre 20'!$E$5:$E$23,$A7,'Septiembre 20'!$C$5:CQ$25)</f>
        <v>60000</v>
      </c>
      <c r="AE7">
        <f>SUMIF('octubre 20'!$E$5:$E$23,$A7,'octubre 20'!$C$5:CQ$25)</f>
        <v>0</v>
      </c>
      <c r="AF7">
        <f>SUMIF('noviembre 20'!$E$5:$E$23,$A7,'noviembre 20'!$C$5:CQ$25)</f>
        <v>0</v>
      </c>
      <c r="AG7">
        <f>SUMIF('diciembre 20'!$E$5:$E$23,$A7,'diciembre 20'!$C$5:CQ$25)</f>
        <v>0</v>
      </c>
      <c r="AH7">
        <f>SUMIF('enero 21'!$E$5:$E$23,$A7,'enero 21'!$C$5:CQ$25)</f>
        <v>0</v>
      </c>
      <c r="AI7">
        <f>SUMIF('febrero 21'!$E$5:$E$23,$A7,'febrero 21'!$C$5:CQ$25)</f>
        <v>0</v>
      </c>
      <c r="AJ7">
        <f>SUMIF('marzo 21'!$E$5:$E$23,$A7,'marzo 21'!$C$5:CQ$25)</f>
        <v>0</v>
      </c>
      <c r="AK7">
        <f>SUMIF('abril 21'!$E$5:$E$23,$A7,'abril 21'!$C$5:CQ$25)</f>
        <v>0</v>
      </c>
      <c r="AL7">
        <f>SUMIF('mayo 21'!$E$5:$E$23,$A7,'mayo 21'!$C$5:CQ$25)</f>
        <v>0</v>
      </c>
      <c r="AM7">
        <f>SUMIF('Junio 21'!$E$5:$E$23,$A7,'Junio 21'!$C$5:CQ$25)</f>
        <v>0</v>
      </c>
      <c r="AN7">
        <f>SUMIF('Julio 21'!$E$5:$E$23,$A7,'Julio 21'!$C$5:CQ$25)</f>
        <v>0</v>
      </c>
      <c r="AO7">
        <f>SUMIF('Agosto 21'!$E$5:$E$23,$A7,'Agosto 21'!$C$5:CQ$25)</f>
        <v>0</v>
      </c>
      <c r="AP7">
        <f>SUMIF('Septiembre 21'!$E$5:$E$23,$A7,'Septiembre 21'!$C$5:CQ$25)</f>
        <v>0</v>
      </c>
      <c r="AQ7">
        <f>SUMIF('Octubre 21'!$E$5:$E$23,$A7,'Octubre 21'!$C$5:CQ$25)</f>
        <v>0</v>
      </c>
      <c r="AR7">
        <f>SUMIF('Noviembre 21'!$E$5:$E$23,$A7,'Noviembre 21'!$C$5:CQ$25)</f>
        <v>0</v>
      </c>
      <c r="AS7">
        <f>SUMIF('Diciembre 21'!$E$5:$E$23,$A7,'Noviembre 21'!$C$5:CQ$25)</f>
        <v>0</v>
      </c>
      <c r="AT7">
        <f>SUMIF('Enero 22'!$E$5:$E$23,$A7,'Enero 22'!$C$5:CQ$25)</f>
        <v>100000</v>
      </c>
      <c r="AU7">
        <f>SUMIF('Febrero 22'!$E$5:$E$23,$A7,'Febrero 22'!$C$5:CQ$25)</f>
        <v>105000</v>
      </c>
      <c r="AV7">
        <f>SUMIF('Marzo 22'!$E$5:$E$23,$A7,'Marzo 22'!$C$5:CQ$25)</f>
        <v>100000</v>
      </c>
      <c r="AW7">
        <f>SUMIF('Abril 22'!$E$5:$E$23,$A7,'Abril 22'!$C$5:CQ$25)</f>
        <v>100000</v>
      </c>
      <c r="AX7">
        <f>SUMIF('Mayo 22'!$E$5:$E$23,$A7,'Mayo 22'!$C$5:CQ$25)</f>
        <v>100000</v>
      </c>
      <c r="AY7">
        <f>SUMIF('Junio 22'!$E$5:$E$23,$A7,'Junio 22'!$C$5:CQ$25)</f>
        <v>125000</v>
      </c>
      <c r="AZ7">
        <f>SUMIF('Julio 22'!$E$5:$E$23,$A7,'Julio 22'!$C$5:CQ$25)</f>
        <v>125000</v>
      </c>
      <c r="BA7">
        <f>SUMIF('Agosto 22'!$E$5:$E$23,$A7,'Agosto 22'!$C$5:CQ$25)</f>
        <v>100000</v>
      </c>
      <c r="BB7">
        <f>SUMIF('septiembre 22'!$E$5:$E$23,$A7,'septiembre 22'!$C$5:CQ$25)</f>
        <v>150000</v>
      </c>
      <c r="BC7">
        <f>SUMIF('octubre 22'!$E$5:$E$23,$A7,'octubre 22'!$C$5:CQ$25)</f>
        <v>150000</v>
      </c>
      <c r="BD7">
        <f>SUMIF('noviembre 22'!$E$5:$E$23,$A7,'noviembre 22'!$C$5:CQ$25)</f>
        <v>150000</v>
      </c>
      <c r="BE7">
        <f>SUMIF('diciembre 22'!$E$5:$E$23,$A7,'noviembre 22'!$C$5:CQ$25)</f>
        <v>150000</v>
      </c>
      <c r="BF7">
        <f>SUMIF('Enero 23'!$E$5:$E$23,$A7,'Enero 23'!$C$5:CQ$25)</f>
        <v>150000</v>
      </c>
      <c r="BG7">
        <f>SUMIF('Febrero 23'!$E$5:$E$23,$A7,'Febrero 23'!$C$5:CQ$25)</f>
        <v>150000</v>
      </c>
      <c r="BH7">
        <f>SUMIF('Marzo 23'!$E$5:$E$23,$A7,'Marzo 23'!$C$5:CQ$25)</f>
        <v>150000</v>
      </c>
      <c r="BI7">
        <f>SUMIF('Abril 23'!$E$5:$E$23,$A7,'Abril 23'!$C$5:CQ$25)</f>
        <v>0</v>
      </c>
      <c r="BJ7">
        <f>SUMIF('Mayo 23'!$E$5:$E$23,$A7,'Mayo 23'!$C$5:CQ$25)</f>
        <v>0</v>
      </c>
      <c r="BK7">
        <f>SUMIF('Junio 23'!$E$5:$E$23,$A7,'Junio 23'!$C$5:CQ$25)</f>
        <v>0</v>
      </c>
      <c r="BL7">
        <f>SUMIF('Julio 23'!$E$5:$E$23,$A7,'Julio 23'!$C$5:CQ$25)</f>
        <v>0</v>
      </c>
      <c r="BM7">
        <f>SUMIF('Agosto 23'!$E$5:$E$23,$A7,'Agosto 23'!$C$5:CQ$25)</f>
        <v>0</v>
      </c>
      <c r="BN7">
        <f>SUMIF('Septiembre 23'!$E$5:$E$23,$A7,'Septiembre 23'!$C$5:CQ$25)</f>
        <v>0</v>
      </c>
      <c r="BO7">
        <f>SUMIF('Octubre 23'!$E$5:$E$23,$A7,'Octubre 23'!$C$5:CQ$25)</f>
        <v>0</v>
      </c>
      <c r="BP7">
        <f>SUMIF('Noviembre 23'!$E$5:$E$23,$A7,'Noviembre 23'!$C$5:CQ$25)</f>
        <v>0</v>
      </c>
      <c r="BQ7">
        <f>SUMIF('Diciembre 23'!$E$5:$E$23,$A7,'Diciembre 23'!$C$5:CQ$25)</f>
        <v>0</v>
      </c>
      <c r="BR7">
        <f>SUMIF('Enero 24'!$E$5:$E$23,$A7,'Enero 24'!$C$5:CQ$25)</f>
        <v>0</v>
      </c>
      <c r="BS7">
        <f>SUMIF('Febrero 24'!$E$5:$E$23,$A7,'Febrero 24'!$C$5:CQ$25)</f>
        <v>0</v>
      </c>
      <c r="BT7">
        <f>SUMIF('Marzo 24'!$E$5:$E$23,$A7,'Marzo 24'!$C$5:CQ$25)</f>
        <v>0</v>
      </c>
      <c r="BU7">
        <f>SUMIF('abril 24'!$E$5:$E$23,$A7,'abril 24'!$C$5:CQ$25)</f>
        <v>37000</v>
      </c>
      <c r="BV7">
        <f>SUMIF('Mayo 24'!$E$5:$E$23,$A7,'Mayo 24'!$C$5:CQ$25)</f>
        <v>74000</v>
      </c>
      <c r="BW7">
        <f>SUMIF('Junio 24'!$E$5:$E$23,$A7,'Junio 24'!$C$5:CQ$25)</f>
        <v>74000</v>
      </c>
      <c r="BX7">
        <f>SUMIF('Julio 24'!$E$5:$E$23,$A7,'Julio 24'!$C$5:CQ$25)</f>
        <v>74000</v>
      </c>
      <c r="BY7">
        <f>SUMIF('Agosto 24'!$E$5:$E$23,$A7,'Agosto 24'!$C$5:CQ$25)</f>
        <v>74000</v>
      </c>
      <c r="BZ7">
        <f>SUMIF('Septiembre 24'!$E$5:$E$23,$A7,'Septiembre 24'!$C$5:CQ$25)</f>
        <v>74000</v>
      </c>
      <c r="CA7">
        <f>SUMIF('Octubre 24'!$E$5:$E$23,$A7,'Octubre 24'!$C$5:CQ$25)</f>
        <v>74000</v>
      </c>
      <c r="CB7">
        <f>SUMIF('Noviembre 24'!$E$5:$E$23,$A7,'Noviembre 24'!$C$5:CQ$25)</f>
        <v>74000</v>
      </c>
      <c r="CC7">
        <f>SUMIF('Diciembre 24'!$E$5:$E$23,$A7,'Diciembre 24'!$C$5:CQ$25)</f>
        <v>74000</v>
      </c>
      <c r="CD7">
        <f>SUMIF('Enero 25'!$E$5:$E$23,$A7,'Enero 25'!$C$5:CQ$25)</f>
        <v>74000</v>
      </c>
      <c r="CE7">
        <f>SUMIF('febrero 25'!$E$5:$E$23,$A7,'febrero 25'!$C$5:CQ$25)</f>
        <v>74000</v>
      </c>
      <c r="CF7">
        <f>SUMIF('marzo 25'!$E$5:$E$23,$A7,'marzo 25'!$C$5:CQ$25)</f>
        <v>74000</v>
      </c>
      <c r="CG7">
        <f>SUMIF('abril 25'!$E$5:$E$23,$A7,'abril 25'!$C$5:CQ$25)</f>
        <v>74000</v>
      </c>
      <c r="CH7">
        <f>SUMIF('Mayo 25'!$E$5:$E$23,$A7,'Mayo 25'!$C$5:CQ$25)</f>
        <v>74000</v>
      </c>
      <c r="CI7">
        <f>SUMIF('Junio 25'!$E$5:$E$23,$A7,'Junio 25'!$C$5:CQ$25)</f>
        <v>74000</v>
      </c>
      <c r="CJ7">
        <f>SUMIF('Julio 25'!$E$5:$E$23,$A7,'Julio 25'!$C$5:CQ$25)</f>
        <v>74000</v>
      </c>
      <c r="CK7">
        <f>SUMIF('Agosto 25'!$E$5:$E$23,$A7,'Agosto 25'!$C$5:CQ$25)</f>
        <v>111000</v>
      </c>
      <c r="CL7">
        <f>SUMIF('Septiembre 25'!$E$5:$E$23,$A7,'Septiembre 25'!$C$5:CQ$25)</f>
        <v>111000</v>
      </c>
      <c r="CM7">
        <f>SUMIF('Octubre 25'!$E$5:$E$23,$A7,'Octubre 25'!$C$5:CQ$25)</f>
        <v>111000</v>
      </c>
      <c r="CN7">
        <f>SUMIF('noviembre 25'!$E$5:$E$23,$A7,'noviembre 25'!$C$5:CQ$25)</f>
        <v>111000</v>
      </c>
    </row>
    <row r="8">
      <c r="A8" s="146" t="s">
        <v>23</v>
      </c>
      <c r="B8" s="147">
        <f t="shared" si="1"/>
        <v>29850</v>
      </c>
      <c r="C8" s="107">
        <f t="shared" si="2"/>
        <v>17000</v>
      </c>
      <c r="D8" s="126">
        <f t="shared" si="3"/>
        <v>22400.16071</v>
      </c>
      <c r="E8">
        <v>37247.0</v>
      </c>
      <c r="F8">
        <v>39990.0</v>
      </c>
      <c r="G8">
        <v>39990.0</v>
      </c>
      <c r="H8">
        <v>39900.0</v>
      </c>
      <c r="I8">
        <v>39990.0</v>
      </c>
      <c r="J8">
        <v>39990.0</v>
      </c>
      <c r="K8">
        <v>45578.0</v>
      </c>
      <c r="L8" s="127">
        <v>45574.0</v>
      </c>
      <c r="M8">
        <v>45574.0</v>
      </c>
      <c r="N8">
        <v>11640.0</v>
      </c>
      <c r="O8">
        <v>25990.0</v>
      </c>
      <c r="P8">
        <v>25990.0</v>
      </c>
      <c r="Q8">
        <v>25990.0</v>
      </c>
      <c r="R8">
        <v>25990.0</v>
      </c>
      <c r="S8">
        <v>25990.0</v>
      </c>
      <c r="T8">
        <f>SUMIF('Noviembre 19'!$E$5:$E$23,$A8,'Noviembre 19'!$C$5:CQ$25)</f>
        <v>21990</v>
      </c>
      <c r="U8" s="106">
        <v>21990.0</v>
      </c>
      <c r="V8">
        <f>SUMIF('Enero 20'!$E$5:$E$23,$A8,'Enero 20'!$C$5:CQ$25)</f>
        <v>21990</v>
      </c>
      <c r="W8">
        <f>SUMIF('Febrero 20'!$E$5:$E$23,$A8,'Febrero 20'!$C$5:CQ$25)</f>
        <v>21990</v>
      </c>
      <c r="X8">
        <f>SUMIF('Marzo 20'!$E$5:$E$23,$A8,'Marzo 20'!$C$5:CQ$25)</f>
        <v>21990</v>
      </c>
      <c r="Y8">
        <f>SUMIF('Abril 20'!$E$5:$E$23,$A8,'Abril 20'!$C$5:CQ$25)</f>
        <v>21990</v>
      </c>
      <c r="Z8">
        <f>SUMIF('Mayo 20'!$E$5:$E$23,$A8,'Mayo 20'!$C$5:CQ$25)</f>
        <v>22124</v>
      </c>
      <c r="AA8">
        <f>SUMIF('Junio 20'!$E$5:$E$23,$A8,'Junio 20'!$C$5:CQ$25)</f>
        <v>22124</v>
      </c>
      <c r="AB8">
        <f>SUMIF('Julio 20'!$E$5:$E$23,$A8,'Julio 20'!$C$5:CQ$25)</f>
        <v>25990</v>
      </c>
      <c r="AC8">
        <f>SUMIF('Agosto 20'!$E$5:$E$23,$A8,'Agosto 20'!$C$5:CQ$25)</f>
        <v>25990</v>
      </c>
      <c r="AD8">
        <f>SUMIF('Septiembre 20'!$E$5:$E$23,$A8,'Septiembre 20'!$C$5:CQ$25)</f>
        <v>25990</v>
      </c>
      <c r="AE8">
        <f>SUMIF('octubre 20'!$E$5:$E$23,$A8,'octubre 20'!$C$5:CQ$25)</f>
        <v>25990</v>
      </c>
      <c r="AF8">
        <f>SUMIF('noviembre 20'!$E$5:$E$23,$A8,'noviembre 20'!$C$5:CQ$25)</f>
        <v>25990</v>
      </c>
      <c r="AG8">
        <f>SUMIF('diciembre 20'!$E$5:$E$23,$A8,'diciembre 20'!$C$5:CQ$25)</f>
        <v>25990</v>
      </c>
      <c r="AH8">
        <f>SUMIF('enero 21'!$E$5:$E$23,$A8,'enero 21'!$C$5:CQ$25)</f>
        <v>25990</v>
      </c>
      <c r="AI8">
        <f>SUMIF('febrero 21'!$E$5:$E$23,$A8,'febrero 21'!$C$5:CQ$25)</f>
        <v>25990</v>
      </c>
      <c r="AJ8">
        <f>SUMIF('marzo 21'!$E$5:$E$23,$A8,'marzo 21'!$C$5:CQ$25)</f>
        <v>25990</v>
      </c>
      <c r="AK8">
        <f>SUMIF('abril 21'!$E$5:$E$23,$A8,'abril 21'!$C$5:CQ$25)</f>
        <v>21990</v>
      </c>
      <c r="AL8">
        <f>SUMIF('mayo 21'!$E$5:$E$23,$A8,'mayo 21'!$C$5:CQ$25)</f>
        <v>21990</v>
      </c>
      <c r="AM8">
        <f>SUMIF('Junio 21'!$E$5:$E$23,$A8,'Junio 21'!$C$5:CQ$25)</f>
        <v>21990</v>
      </c>
      <c r="AN8">
        <f>SUMIF('Julio 21'!$E$5:$E$23,$A8,'Julio 21'!$C$5:CQ$25)</f>
        <v>21990</v>
      </c>
      <c r="AO8">
        <f>SUMIF('Agosto 21'!$E$5:$E$23,$A8,'Agosto 21'!$C$5:CQ$25)</f>
        <v>21990</v>
      </c>
      <c r="AP8">
        <f>SUMIF('Septiembre 21'!$E$5:$E$23,$A8,'Septiembre 21'!$C$5:CQ$25)</f>
        <v>21990</v>
      </c>
      <c r="AQ8">
        <f>SUMIF('Octubre 21'!$E$5:$E$23,$A8,'Octubre 21'!$C$5:CQ$25)</f>
        <v>27990</v>
      </c>
      <c r="AR8">
        <f>SUMIF('Noviembre 21'!$E$5:$E$23,$A8,'Noviembre 21'!$C$5:CQ$25)</f>
        <v>27990</v>
      </c>
      <c r="AS8">
        <f>SUMIF('Diciembre 21'!$E$5:$E$23,$A8,'Noviembre 21'!$C$5:CQ$25)</f>
        <v>27990</v>
      </c>
      <c r="AT8">
        <f>SUMIF('Enero 22'!$E$5:$E$23,$A8,'Enero 22'!$C$5:CQ$25)</f>
        <v>29190</v>
      </c>
      <c r="AU8">
        <f>SUMIF('Febrero 22'!$E$5:$E$23,$A8,'Febrero 22'!$C$5:CQ$25)</f>
        <v>28420</v>
      </c>
      <c r="AV8">
        <f>SUMIF('Marzo 22'!$E$5:$E$23,$A8,'Marzo 22'!$C$5:CQ$25)</f>
        <v>27990</v>
      </c>
      <c r="AW8">
        <f>SUMIF('Abril 22'!$E$5:$E$23,$A8,'Abril 22'!$C$5:CQ$25)</f>
        <v>27990</v>
      </c>
      <c r="AX8">
        <f>SUMIF('Mayo 22'!$E$5:$E$23,$A8,'Mayo 22'!$C$5:CQ$25)</f>
        <v>27990</v>
      </c>
      <c r="AY8">
        <f>SUMIF('Junio 22'!$E$5:$E$23,$A8,'Junio 22'!$C$5:CQ$25)</f>
        <v>27990</v>
      </c>
      <c r="AZ8">
        <f>SUMIF('Julio 22'!$E$5:$E$23,$A8,'Julio 22'!$C$5:CQ$25)</f>
        <v>27990</v>
      </c>
      <c r="BA8">
        <f>SUMIF('Agosto 22'!$E$5:$E$23,$A8,'Agosto 22'!$C$5:CQ$25)</f>
        <v>27990</v>
      </c>
      <c r="BB8">
        <f>SUMIF('septiembre 22'!$E$5:$E$23,$A8,'septiembre 22'!$C$5:CQ$25)</f>
        <v>27990</v>
      </c>
      <c r="BC8">
        <f>SUMIF('octubre 22'!$E$5:$E$23,$A8,'octubre 22'!$C$5:CQ$25)</f>
        <v>27990</v>
      </c>
      <c r="BD8">
        <f>SUMIF('noviembre 22'!$E$5:$E$23,$A8,'noviembre 22'!$C$5:CQ$25)</f>
        <v>27990</v>
      </c>
      <c r="BE8">
        <f>SUMIF('diciembre 22'!$E$5:$E$23,$A8,'noviembre 22'!$C$5:CQ$25)</f>
        <v>27990</v>
      </c>
      <c r="BF8">
        <f>SUMIF('Enero 23'!$E$5:$E$23,$A8,'Enero 23'!$C$5:CQ$25)</f>
        <v>27990</v>
      </c>
      <c r="BG8">
        <f>SUMIF('Febrero 23'!$E$5:$E$23,$A8,'Febrero 23'!$C$5:CQ$25)</f>
        <v>27990</v>
      </c>
      <c r="BH8">
        <f>SUMIF('Marzo 23'!$E$5:$E$23,$A8,'Marzo 23'!$C$5:CQ$25)</f>
        <v>27990</v>
      </c>
      <c r="BI8">
        <f>SUMIF('Abril 23'!$E$5:$E$23,$A8,'Abril 23'!$C$5:CQ$25)</f>
        <v>19990</v>
      </c>
      <c r="BJ8">
        <f>SUMIF('Mayo 23'!$E$5:$E$23,$A8,'Mayo 23'!$C$5:CQ$25)</f>
        <v>19990</v>
      </c>
      <c r="BK8">
        <f>SUMIF('Junio 23'!$E$5:$E$23,$A8,'Junio 23'!$C$5:CQ$25)</f>
        <v>19990</v>
      </c>
      <c r="BL8">
        <f>SUMIF('Julio 23'!$E$5:$E$23,$A8,'Julio 23'!$C$5:CQ$25)</f>
        <v>19990</v>
      </c>
      <c r="BM8">
        <f>SUMIF('Agosto 23'!$E$5:$E$23,$A8,'Agosto 23'!$C$5:CQ$25)</f>
        <v>19990</v>
      </c>
      <c r="BN8">
        <f>SUMIF('Septiembre 23'!$E$5:$E$23,$A8,'Septiembre 23'!$C$5:CQ$25)</f>
        <v>20718</v>
      </c>
      <c r="BO8">
        <f>SUMIF('Octubre 23'!$E$5:$E$23,$A8,'Octubre 23'!$C$5:CQ$25)</f>
        <v>20718</v>
      </c>
      <c r="BP8">
        <f>SUMIF('Noviembre 23'!$E$5:$E$23,$A8,'Noviembre 23'!$C$5:CQ$25)</f>
        <v>20718</v>
      </c>
      <c r="BQ8">
        <f>SUMIF('Diciembre 23'!$E$5:$E$23,$A8,'Diciembre 23'!$C$5:CQ$25)</f>
        <v>20718</v>
      </c>
      <c r="BR8">
        <f>SUMIF('Enero 24'!$E$5:$E$23,$A8,'Enero 24'!$C$5:CQ$25)</f>
        <v>21380</v>
      </c>
      <c r="BS8">
        <f>SUMIF('Febrero 24'!$E$5:$E$23,$A8,'Febrero 24'!$C$5:CQ$25)</f>
        <v>21380</v>
      </c>
      <c r="BT8">
        <f>SUMIF('Marzo 24'!$E$5:$E$23,$A8,'Marzo 24'!$C$5:CQ$25)</f>
        <v>21380</v>
      </c>
      <c r="BU8">
        <f>SUMIF('abril 24'!$E$5:$E$23,$A8,'abril 24'!$C$5:CQ$25)</f>
        <v>29850</v>
      </c>
      <c r="BV8">
        <f>SUMIF('Mayo 24'!$E$5:$E$23,$A8,'Mayo 24'!$C$5:CQ$25)</f>
        <v>19777</v>
      </c>
      <c r="BW8">
        <f>SUMIF('Junio 24'!$E$5:$E$23,$A8,'Junio 24'!$C$5:CQ$25)</f>
        <v>17990</v>
      </c>
      <c r="BX8">
        <f>SUMIF('Julio 24'!$E$5:$E$23,$A8,'Julio 24'!$C$5:CQ$25)</f>
        <v>17990</v>
      </c>
      <c r="BY8">
        <f>SUMIF('Agosto 24'!$E$5:$E$23,$A8,'Agosto 24'!$C$5:CQ$25)</f>
        <v>17990</v>
      </c>
      <c r="BZ8">
        <f>SUMIF('Septiembre 24'!$E$5:$E$23,$A8,'Septiembre 24'!$C$5:CQ$25)</f>
        <v>17990</v>
      </c>
      <c r="CA8">
        <f>SUMIF('Octubre 24'!$E$5:$E$23,$A8,'Octubre 24'!$C$5:CQ$25)</f>
        <v>17990</v>
      </c>
      <c r="CB8">
        <f>SUMIF('Noviembre 24'!$E$5:$E$23,$A8,'Noviembre 24'!$C$5:CQ$25)</f>
        <v>17990</v>
      </c>
      <c r="CC8">
        <f>SUMIF('Diciembre 24'!$E$5:$E$23,$A8,'Diciembre 24'!$C$5:CQ$25)</f>
        <v>23990</v>
      </c>
      <c r="CD8">
        <f>SUMIF('Enero 25'!$E$5:$E$23,$A8,'Enero 25'!$C$5:CQ$25)</f>
        <v>17000</v>
      </c>
      <c r="CE8">
        <f>SUMIF('febrero 25'!$E$5:$E$23,$A8,'febrero 25'!$C$5:CQ$25)</f>
        <v>17000</v>
      </c>
      <c r="CF8">
        <f>SUMIF('marzo 25'!$E$5:$E$23,$A8,'marzo 25'!$C$5:CQ$25)</f>
        <v>17000</v>
      </c>
      <c r="CG8">
        <f>SUMIF('abril 25'!$E$5:$E$23,$A8,'abril 25'!$C$5:CQ$25)</f>
        <v>17000</v>
      </c>
      <c r="CH8">
        <f>SUMIF('Mayo 25'!$E$5:$E$23,$A8,'Mayo 25'!$C$5:CQ$25)</f>
        <v>17000</v>
      </c>
      <c r="CI8">
        <f>SUMIF('Junio 25'!$E$5:$E$23,$A8,'Junio 25'!$C$5:CQ$25)</f>
        <v>17000</v>
      </c>
      <c r="CJ8">
        <f>SUMIF('Julio 25'!$E$5:$E$23,$A8,'Julio 25'!$C$5:CQ$25)</f>
        <v>17000</v>
      </c>
      <c r="CK8">
        <f>SUMIF('Agosto 25'!$E$5:$E$23,$A8,'Agosto 25'!$C$5:CQ$25)</f>
        <v>17000</v>
      </c>
      <c r="CL8">
        <f>SUMIF('Septiembre 25'!$E$5:$E$23,$A8,'Septiembre 25'!$C$5:CQ$25)</f>
        <v>17500</v>
      </c>
      <c r="CM8">
        <f>SUMIF('Octubre 25'!$E$5:$E$23,$A8,'Octubre 25'!$C$5:CQ$25)</f>
        <v>17500</v>
      </c>
      <c r="CN8">
        <f>SUMIF('noviembre 25'!$E$5:$E$23,$A8,'noviembre 25'!$C$5:CQ$25)</f>
        <v>17500</v>
      </c>
    </row>
    <row r="9">
      <c r="A9" s="146" t="s">
        <v>24</v>
      </c>
      <c r="B9" s="147">
        <f t="shared" si="1"/>
        <v>82107</v>
      </c>
      <c r="C9" s="107">
        <f t="shared" si="2"/>
        <v>0</v>
      </c>
      <c r="D9" s="126">
        <f t="shared" si="3"/>
        <v>22993.17857</v>
      </c>
      <c r="E9">
        <f>SUMIF(Agosto!$E$5:$E$25,$A9,Agosto!$C$5:$C$25)</f>
        <v>1656</v>
      </c>
      <c r="F9">
        <f>SUMIF(Septiembre!$E$5:$E$25,$A9,Septiembre!$C$5:$C$25)</f>
        <v>1547</v>
      </c>
      <c r="G9">
        <f>SUMIF(octubre!$E$5:E$25,$A9,octubre!$C$5:$C$25)</f>
        <v>3627</v>
      </c>
      <c r="H9">
        <f>SUMIF(noviembre!$E$5:F$25,$A9,noviembre!$C$5:$C$25)</f>
        <v>2979</v>
      </c>
      <c r="I9">
        <f>SUMIF(Diciembre!$E$5:CQ$25,$A9,Diciembre!$C$5:$C$25)</f>
        <v>2927</v>
      </c>
      <c r="J9">
        <f>SUMIF(Enero!$E$5:E$25,$A9,Enero!$C$5:$C$25)</f>
        <v>3949</v>
      </c>
      <c r="K9">
        <f>SUMIF(febrero!$E$5:$E$25,$A9,febrero!$C$5:CQ$25)</f>
        <v>9704</v>
      </c>
      <c r="L9" s="127">
        <f>SUMIF(Marzo!$E$5:$E$25,$A9,Marzo!$C$5:CQ$25)</f>
        <v>9186</v>
      </c>
      <c r="M9">
        <f>SUMIF(Abril!$E$5:$E$25,$A9,Abril!$C$5:CQ$25)</f>
        <v>8331</v>
      </c>
      <c r="N9">
        <f>SUMIF(Mayo!$E$5:$E$25,$A9,Mayo!$C$5:CQ$25)</f>
        <v>11678</v>
      </c>
      <c r="O9">
        <f>SUMIF(Junio!$E$5:$E$25,$A9,Junio!$C$5:CQ$25)</f>
        <v>9116</v>
      </c>
      <c r="P9">
        <f>SUMIF(Julio!$E$5:$E$25,$A9,Julio!$C$5:CQ$25)</f>
        <v>7713</v>
      </c>
      <c r="Q9">
        <f>SUMIF('Agosto 19'!$E$5:$E$23,$A9,'Agosto 19'!$C$5:CQ$25)</f>
        <v>9869</v>
      </c>
      <c r="R9">
        <f>SUMIF('Septiembre 19'!$E$5:$E$23,$A9,'Septiembre 19'!$C$5:CQ$25)</f>
        <v>10800</v>
      </c>
      <c r="S9">
        <f>SUMIF('Octubre 19'!$E$5:$E$23,$A9,'Octubre 19'!$C$5:CQ$25)</f>
        <v>8434</v>
      </c>
      <c r="T9">
        <f>SUMIF('Noviembre 19'!$E$5:$E$23,$A9,'Noviembre 19'!$C$5:CQ$25)</f>
        <v>8668</v>
      </c>
      <c r="U9">
        <f>SUMIF('Diciembre 19'!$E$5:$E$23,$A9,'Diciembre 19'!$C$5:CQ$25)</f>
        <v>7089</v>
      </c>
      <c r="V9">
        <f>SUMIF('Enero 20'!$E$5:$E$23,$A9,'Enero 20'!$C$5:CQ$25)</f>
        <v>11963</v>
      </c>
      <c r="W9">
        <f>SUMIF('Febrero 20'!$E$5:$E$23,$A9,'Febrero 20'!$C$5:CQ$25)</f>
        <v>18702</v>
      </c>
      <c r="X9">
        <f>SUMIF('Marzo 20'!$E$5:$E$23,$A9,'Marzo 20'!$C$5:CQ$25)</f>
        <v>18004</v>
      </c>
      <c r="Y9">
        <f>SUMIF('Abril 20'!$E$5:$E$23,$A9,'Abril 20'!$C$5:CQ$25)</f>
        <v>12150</v>
      </c>
      <c r="Z9">
        <f>SUMIF('Mayo 20'!$E$5:$E$23,$A9,'Mayo 20'!$C$5:CQ$25)</f>
        <v>14606</v>
      </c>
      <c r="AA9">
        <f>SUMIF('Junio 20'!$E$5:$E$23,$A9,'Junio 20'!$C$5:CQ$25)</f>
        <v>14385</v>
      </c>
      <c r="AB9">
        <f>SUMIF('Julio 20'!$E$5:$E$23,$A9,'Julio 20'!$C$5:CQ$25)</f>
        <v>15128</v>
      </c>
      <c r="AC9">
        <f>SUMIF('Agosto 20'!$E$5:$E$23,$A9,'Agosto 20'!$C$5:CQ$25)</f>
        <v>16119</v>
      </c>
      <c r="AD9">
        <f>SUMIF('Septiembre 20'!$E$5:$E$23,$A9,'Septiembre 20'!$C$5:CQ$25)</f>
        <v>12028</v>
      </c>
      <c r="AE9">
        <f>SUMIF('octubre 20'!$E$5:$E$23,$A9,'octubre 20'!$C$5:CQ$25)</f>
        <v>0</v>
      </c>
      <c r="AF9">
        <f>SUMIF('noviembre 20'!$E$5:$E$23,$A9,'noviembre 20'!$C$5:CQ$25)</f>
        <v>11500</v>
      </c>
      <c r="AG9">
        <f>SUMIF('diciembre 20'!$E$5:$E$23,$A9,'diciembre 20'!$C$5:CQ$25)</f>
        <v>11466</v>
      </c>
      <c r="AH9">
        <f>SUMIF('enero 21'!$E$5:$E$23,$A9,'enero 21'!$C$5:CQ$25)</f>
        <v>16191</v>
      </c>
      <c r="AI9">
        <f>SUMIF('febrero 21'!$E$5:$E$23,$A9,'febrero 21'!$C$5:CQ$25)</f>
        <v>9873</v>
      </c>
      <c r="AJ9">
        <f>SUMIF('marzo 21'!$E$5:$E$23,$A9,'marzo 21'!$C$5:CQ$25)</f>
        <v>9216</v>
      </c>
      <c r="AK9">
        <f>SUMIF('abril 21'!$E$5:$E$23,$A9,'abril 21'!$C$5:CQ$25)</f>
        <v>16185</v>
      </c>
      <c r="AL9">
        <f>SUMIF('mayo 21'!$E$5:$E$23,$A9,'mayo 21'!$C$5:CQ$25)</f>
        <v>26468</v>
      </c>
      <c r="AM9">
        <f>SUMIF('Junio 21'!$E$5:$E$23,$A9,'Junio 21'!$C$5:CQ$25)</f>
        <v>14181</v>
      </c>
      <c r="AN9">
        <f>SUMIF('Julio 21'!$E$5:$E$23,$A9,'Julio 21'!$C$5:CQ$25)</f>
        <v>7818</v>
      </c>
      <c r="AO9">
        <f>SUMIF('Agosto 21'!$E$5:$E$23,$A9,'Agosto 21'!$C$5:CQ$25)</f>
        <v>12000</v>
      </c>
      <c r="AP9">
        <f>SUMIF('Septiembre 21'!$E$5:$E$23,$A9,'Septiembre 21'!$C$5:CQ$25)</f>
        <v>0</v>
      </c>
      <c r="AQ9">
        <f>SUMIF('Octubre 21'!$E$5:$E$23,$A9,'Octubre 21'!$C$5:CQ$25)</f>
        <v>13200</v>
      </c>
      <c r="AR9">
        <f>SUMIF('Noviembre 21'!$E$5:$E$23,$A9,'Noviembre 21'!$C$5:CQ$25)</f>
        <v>13852</v>
      </c>
      <c r="AS9">
        <f>SUMIF('Diciembre 21'!$E$5:$E$23,$A9,'Noviembre 21'!$C$5:CQ$25)</f>
        <v>13852</v>
      </c>
      <c r="AT9">
        <f>SUMIF('Enero 22'!$E$5:$E$23,$A9,'Enero 22'!$C$5:CQ$25)</f>
        <v>12600</v>
      </c>
      <c r="AU9">
        <f>SUMIF('Febrero 22'!$E$5:$E$23,$A9,'Febrero 22'!$C$5:CQ$25)</f>
        <v>10841</v>
      </c>
      <c r="AV9">
        <f>SUMIF('Marzo 22'!$E$5:$E$23,$A9,'Marzo 22'!$C$5:CQ$25)</f>
        <v>8900</v>
      </c>
      <c r="AW9">
        <f>SUMIF('Abril 22'!$E$5:$E$23,$A9,'Abril 22'!$C$5:CQ$25)</f>
        <v>9255</v>
      </c>
      <c r="AX9">
        <f>SUMIF('Mayo 22'!$E$5:$E$23,$A9,'Mayo 22'!$C$5:CQ$25)</f>
        <v>10563</v>
      </c>
      <c r="AY9">
        <f>SUMIF('Junio 22'!$E$5:$E$23,$A9,'Junio 22'!$C$5:CQ$25)</f>
        <v>12000</v>
      </c>
      <c r="AZ9">
        <f>SUMIF('Julio 22'!$E$5:$E$23,$A9,'Julio 22'!$C$5:CQ$25)</f>
        <v>19300</v>
      </c>
      <c r="BA9">
        <f>SUMIF('Agosto 22'!$E$5:$E$23,$A9,'Agosto 22'!$C$5:CQ$25)</f>
        <v>19971</v>
      </c>
      <c r="BB9">
        <f>SUMIF('septiembre 22'!$E$5:$E$23,$A9,'septiembre 22'!$C$5:CQ$25)</f>
        <v>11058</v>
      </c>
      <c r="BC9">
        <f>SUMIF('octubre 22'!$E$5:$E$23,$A9,'octubre 22'!$C$5:CQ$25)</f>
        <v>0</v>
      </c>
      <c r="BD9">
        <f>SUMIF('noviembre 22'!$E$5:$E$23,$A9,'noviembre 22'!$C$5:CQ$25)</f>
        <v>9672</v>
      </c>
      <c r="BE9">
        <f>SUMIF('diciembre 22'!$E$5:$E$23,$A9,'noviembre 22'!$C$5:CQ$25)</f>
        <v>9672</v>
      </c>
      <c r="BF9">
        <f>SUMIF('Enero 23'!$E$5:$E$23,$A9,'Enero 23'!$C$5:CQ$25)</f>
        <v>11091</v>
      </c>
      <c r="BG9">
        <f>SUMIF('Febrero 23'!$E$5:$E$23,$A9,'Febrero 23'!$C$5:CQ$25)</f>
        <v>9867</v>
      </c>
      <c r="BH9">
        <f>SUMIF('Marzo 23'!$E$5:$E$23,$A9,'Marzo 23'!$C$5:CQ$25)</f>
        <v>9602</v>
      </c>
      <c r="BI9">
        <f>SUMIF('Abril 23'!$E$5:$E$23,$A9,'Abril 23'!$C$5:CQ$25)</f>
        <v>8000</v>
      </c>
      <c r="BJ9">
        <f>SUMIF('Mayo 23'!$E$5:$E$23,$A9,'Mayo 23'!$C$5:CQ$25)</f>
        <v>8324</v>
      </c>
      <c r="BK9">
        <f>SUMIF('Junio 23'!$E$5:$E$23,$A9,'Junio 23'!$C$5:CQ$25)</f>
        <v>7308</v>
      </c>
      <c r="BL9">
        <f>SUMIF('Julio 23'!$E$5:$E$23,$A9,'Julio 23'!$C$5:CQ$25)</f>
        <v>15117</v>
      </c>
      <c r="BM9">
        <f>SUMIF('Agosto 23'!$E$5:$E$23,$A9,'Agosto 23'!$C$5:CQ$25)</f>
        <v>13890</v>
      </c>
      <c r="BN9">
        <f>SUMIF('Septiembre 23'!$E$5:$E$23,$A9,'Septiembre 23'!$C$5:CQ$25)</f>
        <v>21446</v>
      </c>
      <c r="BO9">
        <f>SUMIF('Octubre 23'!$E$5:$E$23,$A9,'Octubre 23'!$C$5:CQ$25)</f>
        <v>15300</v>
      </c>
      <c r="BP9">
        <f>SUMIF('Noviembre 23'!$E$5:$E$23,$A9,'Noviembre 23'!$C$5:CQ$25)</f>
        <v>15695</v>
      </c>
      <c r="BQ9">
        <f>SUMIF('Diciembre 23'!$E$5:$E$23,$A9,'Diciembre 23'!$C$5:CQ$25)</f>
        <v>16507</v>
      </c>
      <c r="BR9">
        <f>SUMIF('Enero 24'!$E$5:$E$23,$A9,'Enero 24'!$C$5:CQ$25)</f>
        <v>30073</v>
      </c>
      <c r="BS9">
        <f>SUMIF('Febrero 24'!$E$5:$E$23,$A9,'Febrero 24'!$C$5:CQ$25)</f>
        <v>36500</v>
      </c>
      <c r="BT9">
        <f>SUMIF('Marzo 24'!$E$5:$E$23,$A9,'Marzo 24'!$C$5:CQ$25)</f>
        <v>41316</v>
      </c>
      <c r="BU9">
        <f>SUMIF('abril 24'!$E$5:$E$23,$A9,'abril 24'!$C$5:CQ$25)</f>
        <v>26500</v>
      </c>
      <c r="BV9">
        <f>SUMIF('Mayo 24'!$E$5:$E$23,$A9,'Mayo 24'!$C$5:CQ$25)</f>
        <v>30617</v>
      </c>
      <c r="BW9">
        <f>SUMIF('Junio 24'!$E$5:$E$23,$A9,'Junio 24'!$C$5:CQ$25)</f>
        <v>35993</v>
      </c>
      <c r="BX9">
        <f>SUMIF('Julio 24'!$E$5:$E$23,$A9,'Julio 24'!$C$5:CQ$25)</f>
        <v>38894</v>
      </c>
      <c r="BY9">
        <f>SUMIF('Agosto 24'!$E$5:$E$23,$A9,'Agosto 24'!$C$5:CQ$25)</f>
        <v>38432</v>
      </c>
      <c r="BZ9">
        <f>SUMIF('Septiembre 24'!$E$5:$E$23,$A9,'Septiembre 24'!$C$5:CQ$25)</f>
        <v>27697</v>
      </c>
      <c r="CA9">
        <f>SUMIF('Octubre 24'!$E$5:$E$23,$A9,'Octubre 24'!$C$5:CQ$25)</f>
        <v>24676</v>
      </c>
      <c r="CB9">
        <f>SUMIF('Noviembre 24'!$E$5:$E$23,$A9,'Noviembre 24'!$C$5:CQ$25)</f>
        <v>43800</v>
      </c>
      <c r="CC9">
        <f>SUMIF('Diciembre 24'!$E$5:$E$23,$A9,'Diciembre 24'!$C$5:CQ$25)</f>
        <v>24064</v>
      </c>
      <c r="CD9">
        <f>SUMIF('Enero 25'!$E$5:$E$23,$A9,'Enero 25'!$C$5:CQ$25)</f>
        <v>82107</v>
      </c>
      <c r="CE9">
        <f>SUMIF('febrero 25'!$E$5:$E$23,$A9,'febrero 25'!$C$5:CQ$25)</f>
        <v>66739</v>
      </c>
      <c r="CF9">
        <f>SUMIF('marzo 25'!$E$5:$E$23,$A9,'marzo 25'!$C$5:CQ$25)</f>
        <v>40200</v>
      </c>
      <c r="CG9">
        <f>SUMIF('abril 25'!$E$5:$E$23,$A9,'abril 25'!$C$5:CQ$25)</f>
        <v>32500</v>
      </c>
      <c r="CH9">
        <f>SUMIF('Mayo 25'!$E$5:$E$23,$A9,'Mayo 25'!$C$5:CQ$25)</f>
        <v>31500</v>
      </c>
      <c r="CI9">
        <f>SUMIF('Junio 25'!$E$5:$E$23,$A9,'Junio 25'!$C$5:CQ$25)</f>
        <v>36000</v>
      </c>
      <c r="CJ9">
        <f>SUMIF('Julio 25'!$E$5:$E$23,$A9,'Julio 25'!$C$5:CQ$25)</f>
        <v>49275</v>
      </c>
      <c r="CK9">
        <f>SUMIF('Agosto 25'!$E$5:$E$23,$A9,'Agosto 25'!$C$5:CQ$25)</f>
        <v>57000</v>
      </c>
      <c r="CL9">
        <f>SUMIF('Septiembre 25'!$E$5:$E$23,$A9,'Septiembre 25'!$C$5:CQ$25)</f>
        <v>41200</v>
      </c>
      <c r="CM9">
        <f>SUMIF('Octubre 25'!$E$5:$E$23,$A9,'Octubre 25'!$C$5:CQ$25)</f>
        <v>29000</v>
      </c>
      <c r="CN9">
        <f>SUMIF('noviembre 25'!$E$5:$E$23,$A9,'noviembre 25'!$C$5:CQ$25)</f>
        <v>20000</v>
      </c>
    </row>
    <row r="10">
      <c r="A10" s="146" t="s">
        <v>25</v>
      </c>
      <c r="B10" s="147">
        <f t="shared" si="1"/>
        <v>15860</v>
      </c>
      <c r="C10" s="107">
        <f t="shared" si="2"/>
        <v>0</v>
      </c>
      <c r="D10" s="126">
        <f t="shared" si="3"/>
        <v>7271.803571</v>
      </c>
      <c r="E10">
        <f>SUMIF(Agosto!$E$5:$E$25,$A10,Agosto!$C$5:$C$25)</f>
        <v>1850</v>
      </c>
      <c r="F10">
        <f>SUMIF(Septiembre!$E$5:$E$25,$A10,Septiembre!$C$5:$C$25)</f>
        <v>3754</v>
      </c>
      <c r="G10">
        <f>SUMIF(octubre!$E$5:E$25,$A10,octubre!$C$5:$C$25)</f>
        <v>3872</v>
      </c>
      <c r="H10">
        <f>SUMIF(noviembre!$E$5:F$25,$A10,noviembre!$C$5:$C$25)</f>
        <v>3942</v>
      </c>
      <c r="I10">
        <f>SUMIF(Diciembre!$E$5:CQ$25,$A10,Diciembre!$C$5:$C$25)</f>
        <v>3916</v>
      </c>
      <c r="J10">
        <f>SUMIF(Enero!$E$5:E$25,$A10,Enero!$C$5:$C$25)</f>
        <v>8230</v>
      </c>
      <c r="K10">
        <f>SUMIF(febrero!$E$5:$E$25,$A10,febrero!$C$5:CQ$25)</f>
        <v>4270</v>
      </c>
      <c r="L10" s="127">
        <f>SUMIF(Marzo!$E$5:$E$25,$A10,Marzo!$C$5:CQ$25)</f>
        <v>8590</v>
      </c>
      <c r="M10">
        <f>SUMIF(Abril!$E$5:$E$25,$A10,Abril!$C$5:CQ$25)</f>
        <v>7760</v>
      </c>
      <c r="N10">
        <f>SUMIF(Mayo!$E$5:$E$25,$A10,Mayo!$C$5:CQ$25)</f>
        <v>4790</v>
      </c>
      <c r="O10">
        <f>SUMIF(Junio!$E$5:$E$25,$A10,Junio!$C$5:CQ$25)</f>
        <v>5320</v>
      </c>
      <c r="P10">
        <f>SUMIF(Julio!$E$5:$E$25,$A10,Julio!$C$5:CQ$25)</f>
        <v>5450</v>
      </c>
      <c r="Q10">
        <f>SUMIF('Agosto 19'!$E$5:$E$23,$A10,'Agosto 19'!$C$5:CQ$25)</f>
        <v>4720</v>
      </c>
      <c r="R10">
        <f>SUMIF('Septiembre 19'!$E$5:$E$23,$A10,'Septiembre 19'!$C$5:CQ$25)</f>
        <v>6640</v>
      </c>
      <c r="S10">
        <f>SUMIF('Octubre 19'!$E$5:$E$23,$A10,'Octubre 19'!$C$5:CQ$25)</f>
        <v>5610</v>
      </c>
      <c r="T10">
        <f>SUMIF('Noviembre 19'!$E$5:$E$23,$A10,'Noviembre 19'!$C$5:CQ$25)</f>
        <v>4530</v>
      </c>
      <c r="U10">
        <f>SUMIF('Diciembre 19'!$E$5:$E$23,$A10,'Diciembre 19'!$C$5:CQ$25)</f>
        <v>6020</v>
      </c>
      <c r="V10">
        <f>SUMIF('Enero 20'!$E$5:$E$23,$A10,'Enero 20'!$C$5:CQ$25)</f>
        <v>4860</v>
      </c>
      <c r="W10">
        <f>SUMIF('Febrero 20'!$E$5:$E$23,$A10,'Febrero 20'!$C$5:CQ$25)</f>
        <v>5440</v>
      </c>
      <c r="X10">
        <f>SUMIF('Marzo 20'!$E$5:$E$23,$A10,'Marzo 20'!$C$5:CQ$25)</f>
        <v>6204</v>
      </c>
      <c r="Y10">
        <f>SUMIF('Abril 20'!$E$5:$E$23,$A10,'Abril 20'!$C$5:CQ$25)</f>
        <v>4650</v>
      </c>
      <c r="Z10">
        <f>SUMIF('Mayo 20'!$E$5:$E$23,$A10,'Mayo 20'!$C$5:CQ$25)</f>
        <v>8790</v>
      </c>
      <c r="AA10">
        <f>SUMIF('Junio 20'!$E$5:$E$23,$A10,'Junio 20'!$C$5:CQ$25)</f>
        <v>6400</v>
      </c>
      <c r="AB10">
        <f>SUMIF('Julio 20'!$E$5:$E$23,$A10,'Julio 20'!$C$5:CQ$25)</f>
        <v>3070</v>
      </c>
      <c r="AC10">
        <f>SUMIF('Agosto 20'!$E$5:$E$23,$A10,'Agosto 20'!$C$5:CQ$25)</f>
        <v>7470</v>
      </c>
      <c r="AD10">
        <f>SUMIF('Septiembre 20'!$E$5:$E$23,$A10,'Septiembre 20'!$C$5:CQ$25)</f>
        <v>5600</v>
      </c>
      <c r="AE10">
        <f>SUMIF('octubre 20'!$E$5:$E$23,$A10,'octubre 20'!$C$5:CQ$25)</f>
        <v>6540</v>
      </c>
      <c r="AF10">
        <f>SUMIF('noviembre 20'!$E$5:$E$23,$A10,'noviembre 20'!$C$5:CQ$25)</f>
        <v>5600</v>
      </c>
      <c r="AG10">
        <f>SUMIF('diciembre 20'!$E$5:$E$23,$A10,'diciembre 20'!$C$5:CQ$25)</f>
        <v>5600</v>
      </c>
      <c r="AH10">
        <f>SUMIF('enero 21'!$E$5:$E$23,$A10,'enero 21'!$C$5:CQ$25)</f>
        <v>10140</v>
      </c>
      <c r="AI10">
        <f>SUMIF('febrero 21'!$E$5:$E$23,$A10,'febrero 21'!$C$5:CQ$25)</f>
        <v>5780</v>
      </c>
      <c r="AJ10">
        <f>SUMIF('marzo 21'!$E$5:$E$23,$A10,'marzo 21'!$C$5:CQ$25)</f>
        <v>4600</v>
      </c>
      <c r="AK10">
        <f>SUMIF('abril 21'!$E$5:$E$23,$A10,'abril 21'!$C$5:CQ$25)</f>
        <v>12200</v>
      </c>
      <c r="AL10">
        <f>SUMIF('mayo 21'!$E$5:$E$23,$A10,'mayo 21'!$C$5:CQ$25)</f>
        <v>2690</v>
      </c>
      <c r="AM10">
        <f>SUMIF('Junio 21'!$E$5:$E$23,$A10,'Junio 21'!$C$5:CQ$25)</f>
        <v>1900</v>
      </c>
      <c r="AN10">
        <f>SUMIF('Julio 21'!$E$5:$E$23,$A10,'Julio 21'!$C$5:CQ$25)</f>
        <v>15130</v>
      </c>
      <c r="AO10">
        <f>SUMIF('Agosto 21'!$E$5:$E$23,$A10,'Agosto 21'!$C$5:CQ$25)</f>
        <v>0</v>
      </c>
      <c r="AP10">
        <f>SUMIF('Septiembre 21'!$E$5:$E$23,$A10,'Septiembre 21'!$C$5:CQ$25)</f>
        <v>8200</v>
      </c>
      <c r="AQ10">
        <f>SUMIF('Octubre 21'!$E$5:$E$23,$A10,'Octubre 21'!$C$5:CQ$25)</f>
        <v>5190</v>
      </c>
      <c r="AR10">
        <f>SUMIF('Noviembre 21'!$E$5:$E$23,$A10,'Noviembre 21'!$C$5:CQ$25)</f>
        <v>6350</v>
      </c>
      <c r="AS10">
        <f>SUMIF('Diciembre 21'!$E$5:$E$23,$A10,'Noviembre 21'!$C$5:CQ$25)</f>
        <v>6350</v>
      </c>
      <c r="AT10">
        <f>SUMIF('Enero 22'!$E$5:$E$23,$A10,'Enero 22'!$C$5:CQ$25)</f>
        <v>15700</v>
      </c>
      <c r="AU10">
        <f>SUMIF('Febrero 22'!$E$5:$E$23,$A10,'Febrero 22'!$C$5:CQ$25)</f>
        <v>7580</v>
      </c>
      <c r="AV10">
        <f>SUMIF('Marzo 22'!$E$5:$E$23,$A10,'Marzo 22'!$C$5:CQ$25)</f>
        <v>4160</v>
      </c>
      <c r="AW10">
        <f>SUMIF('Abril 22'!$E$5:$E$23,$A10,'Abril 22'!$C$5:CQ$25)</f>
        <v>4370</v>
      </c>
      <c r="AX10">
        <f>SUMIF('Mayo 22'!$E$5:$E$23,$A10,'Mayo 22'!$C$5:CQ$25)</f>
        <v>10070</v>
      </c>
      <c r="AY10">
        <f>SUMIF('Junio 22'!$E$5:$E$23,$A10,'Junio 22'!$C$5:CQ$25)</f>
        <v>4320</v>
      </c>
      <c r="AZ10">
        <f>SUMIF('Julio 22'!$E$5:$E$23,$A10,'Julio 22'!$C$5:CQ$25)</f>
        <v>4520</v>
      </c>
      <c r="BA10">
        <f>SUMIF('Agosto 22'!$E$5:$E$23,$A10,'Agosto 22'!$C$5:CQ$25)</f>
        <v>2210</v>
      </c>
      <c r="BB10">
        <f>SUMIF('septiembre 22'!$E$5:$E$23,$A10,'septiembre 22'!$C$5:CQ$25)</f>
        <v>3370</v>
      </c>
      <c r="BC10">
        <f>SUMIF('octubre 22'!$E$5:$E$23,$A10,'octubre 22'!$C$5:CQ$25)</f>
        <v>0</v>
      </c>
      <c r="BD10">
        <f>SUMIF('noviembre 22'!$E$5:$E$23,$A10,'noviembre 22'!$C$5:CQ$25)</f>
        <v>5840</v>
      </c>
      <c r="BE10">
        <f>SUMIF('diciembre 22'!$E$5:$E$23,$A10,'noviembre 22'!$C$5:CQ$25)</f>
        <v>5840</v>
      </c>
      <c r="BF10">
        <f>SUMIF('Enero 23'!$E$5:$E$23,$A10,'Enero 23'!$C$5:CQ$25)</f>
        <v>2709</v>
      </c>
      <c r="BG10">
        <f>SUMIF('Febrero 23'!$E$5:$E$23,$A10,'Febrero 23'!$C$5:CQ$25)</f>
        <v>3910</v>
      </c>
      <c r="BH10">
        <f>SUMIF('Marzo 23'!$E$5:$E$23,$A10,'Marzo 23'!$C$5:CQ$25)</f>
        <v>6320</v>
      </c>
      <c r="BI10">
        <f>SUMIF('Abril 23'!$E$5:$E$23,$A10,'Abril 23'!$C$5:CQ$25)</f>
        <v>5020</v>
      </c>
      <c r="BJ10">
        <f>SUMIF('Mayo 23'!$E$5:$E$23,$A10,'Mayo 23'!$C$5:CQ$25)</f>
        <v>4670</v>
      </c>
      <c r="BK10">
        <f>SUMIF('Junio 23'!$E$5:$E$23,$A10,'Junio 23'!$C$5:CQ$25)</f>
        <v>2380</v>
      </c>
      <c r="BL10">
        <f>SUMIF('Julio 23'!$E$5:$E$23,$A10,'Julio 23'!$C$5:CQ$25)</f>
        <v>2380</v>
      </c>
      <c r="BM10">
        <f>SUMIF('Agosto 23'!$E$5:$E$23,$A10,'Agosto 23'!$C$5:CQ$25)</f>
        <v>4890</v>
      </c>
      <c r="BN10">
        <f>SUMIF('Septiembre 23'!$E$5:$E$23,$A10,'Septiembre 23'!$C$5:CQ$25)</f>
        <v>5980</v>
      </c>
      <c r="BO10">
        <f>SUMIF('Octubre 23'!$E$5:$E$23,$A10,'Octubre 23'!$C$5:CQ$25)</f>
        <v>6500</v>
      </c>
      <c r="BP10">
        <f>SUMIF('Noviembre 23'!$E$5:$E$23,$A10,'Noviembre 23'!$C$5:CQ$25)</f>
        <v>10770</v>
      </c>
      <c r="BQ10">
        <f>SUMIF('Diciembre 23'!$E$5:$E$23,$A10,'Diciembre 23'!$C$5:CQ$25)</f>
        <v>7640</v>
      </c>
      <c r="BR10">
        <f>SUMIF('Enero 24'!$E$5:$E$23,$A10,'Enero 24'!$C$5:CQ$25)</f>
        <v>11280</v>
      </c>
      <c r="BS10">
        <f>SUMIF('Febrero 24'!$E$5:$E$23,$A10,'Febrero 24'!$C$5:CQ$25)</f>
        <v>10880</v>
      </c>
      <c r="BT10">
        <f>SUMIF('Marzo 24'!$E$5:$E$23,$A10,'Marzo 24'!$C$5:CQ$25)</f>
        <v>8340</v>
      </c>
      <c r="BU10">
        <f>SUMIF('abril 24'!$E$5:$E$23,$A10,'abril 24'!$C$5:CQ$25)</f>
        <v>10320</v>
      </c>
      <c r="BV10">
        <f>SUMIF('Mayo 24'!$E$5:$E$23,$A10,'Mayo 24'!$C$5:CQ$25)</f>
        <v>7490</v>
      </c>
      <c r="BW10">
        <f>SUMIF('Junio 24'!$E$5:$E$23,$A10,'Junio 24'!$C$5:CQ$25)</f>
        <v>10320</v>
      </c>
      <c r="BX10">
        <f>SUMIF('Julio 24'!$E$5:$E$23,$A10,'Julio 24'!$C$5:CQ$25)</f>
        <v>7490</v>
      </c>
      <c r="BY10">
        <f>SUMIF('Agosto 24'!$E$5:$E$23,$A10,'Agosto 24'!$C$5:CQ$25)</f>
        <v>9100</v>
      </c>
      <c r="BZ10">
        <f>SUMIF('Septiembre 24'!$E$5:$E$23,$A10,'Septiembre 24'!$C$5:CQ$25)</f>
        <v>7810</v>
      </c>
      <c r="CA10">
        <f>SUMIF('Octubre 24'!$E$5:$E$23,$A10,'Octubre 24'!$C$5:CQ$25)</f>
        <v>7950</v>
      </c>
      <c r="CB10">
        <f>SUMIF('Noviembre 24'!$E$5:$E$23,$A10,'Noviembre 24'!$C$5:CQ$25)</f>
        <v>10180</v>
      </c>
      <c r="CC10">
        <f>SUMIF('Diciembre 24'!$E$5:$E$23,$A10,'Diciembre 24'!$C$5:CQ$25)</f>
        <v>4960</v>
      </c>
      <c r="CD10">
        <f>SUMIF('Enero 25'!$E$5:$E$23,$A10,'Enero 25'!$C$5:CQ$25)</f>
        <v>8362</v>
      </c>
      <c r="CE10">
        <f>SUMIF('febrero 25'!$E$5:$E$23,$A10,'febrero 25'!$C$5:CQ$25)</f>
        <v>7500</v>
      </c>
      <c r="CF10">
        <f>SUMIF('marzo 25'!$E$5:$E$23,$A10,'marzo 25'!$C$5:CQ$25)</f>
        <v>15860</v>
      </c>
      <c r="CG10">
        <f>SUMIF('abril 25'!$E$5:$E$23,$A10,'abril 25'!$C$5:CQ$25)</f>
        <v>12100</v>
      </c>
      <c r="CH10">
        <f>SUMIF('Mayo 25'!$E$5:$E$23,$A10,'Mayo 25'!$C$5:CQ$25)</f>
        <v>12900</v>
      </c>
      <c r="CI10">
        <f>SUMIF('Junio 25'!$E$5:$E$23,$A10,'Junio 25'!$C$5:CQ$25)</f>
        <v>10900</v>
      </c>
      <c r="CJ10">
        <f>SUMIF('Julio 25'!$E$5:$E$23,$A10,'Julio 25'!$C$5:CQ$25)</f>
        <v>10900</v>
      </c>
      <c r="CK10">
        <f>SUMIF('Agosto 25'!$E$5:$E$23,$A10,'Agosto 25'!$C$5:CQ$25)</f>
        <v>9470</v>
      </c>
      <c r="CL10">
        <f>SUMIF('Septiembre 25'!$E$5:$E$23,$A10,'Septiembre 25'!$C$5:CQ$25)</f>
        <v>8050</v>
      </c>
      <c r="CM10">
        <f>SUMIF('Octubre 25'!$E$5:$E$23,$A10,'Octubre 25'!$C$5:CQ$25)</f>
        <v>9900</v>
      </c>
      <c r="CN10">
        <f>SUMIF('noviembre 25'!$E$5:$E$23,$A10,'noviembre 25'!$C$5:CQ$25)</f>
        <v>6000</v>
      </c>
    </row>
    <row r="11">
      <c r="A11" s="146" t="s">
        <v>26</v>
      </c>
      <c r="B11" s="147">
        <f t="shared" si="1"/>
        <v>8600</v>
      </c>
      <c r="C11" s="107">
        <f t="shared" si="2"/>
        <v>0</v>
      </c>
      <c r="D11" s="126">
        <f t="shared" si="3"/>
        <v>2150.571429</v>
      </c>
      <c r="E11">
        <f>SUMIF(Agosto!$E$5:$E$25,$A11,Agosto!$C$5:$C$25)</f>
        <v>5000</v>
      </c>
      <c r="F11">
        <f>SUMIF(Septiembre!$E$5:$E$25,$A11,Septiembre!$C$5:$C$25)</f>
        <v>0</v>
      </c>
      <c r="G11">
        <f>SUMIF(octubre!$E$5:E$25,$A11,octubre!$C$5:$C$25)</f>
        <v>2708</v>
      </c>
      <c r="H11">
        <f>SUMIF(noviembre!$E$5:F$25,$A11,noviembre!$C$5:$C$25)</f>
        <v>0</v>
      </c>
      <c r="I11">
        <f>SUMIF(Diciembre!$E$5:CQ$25,$A11,Diciembre!$C$5:$C$25)</f>
        <v>1399</v>
      </c>
      <c r="J11">
        <f>SUMIF(Enero!$E$5:E$25,$A11,Enero!$C$5:$C$25)</f>
        <v>0</v>
      </c>
      <c r="K11">
        <f>SUMIF(febrero!$E$5:$E$25,$A11,febrero!$C$5:CQ$25)</f>
        <v>1329</v>
      </c>
      <c r="L11" s="127">
        <f>SUMIF(Marzo!$E$5:$E$25,$A11,Marzo!$C$5:CQ$25)</f>
        <v>0</v>
      </c>
      <c r="M11">
        <f>SUMIF(Abril!$E$5:$E$25,$A11,Abril!$C$5:CQ$25)</f>
        <v>2686</v>
      </c>
      <c r="N11">
        <f>SUMIF(Mayo!$E$5:$E$25,$A11,Mayo!$C$5:CQ$25)</f>
        <v>0</v>
      </c>
      <c r="O11">
        <f>SUMIF(Junio!$E$5:$E$25,$A11,Junio!$C$5:CQ$25)</f>
        <v>0</v>
      </c>
      <c r="P11">
        <f>SUMIF(Julio!$E$5:$E$25,$A11,Julio!$C$5:CQ$25)</f>
        <v>0</v>
      </c>
      <c r="Q11">
        <f>SUMIF('Agosto 19'!$E$5:$E$23,$A11,'Agosto 19'!$C$5:CQ$25)</f>
        <v>1376</v>
      </c>
      <c r="R11">
        <f>SUMIF('Septiembre 19'!$E$5:$E$23,$A11,'Septiembre 19'!$C$5:CQ$25)</f>
        <v>0</v>
      </c>
      <c r="S11">
        <f>SUMIF('Octubre 19'!$E$5:$E$23,$A11,'Octubre 19'!$C$5:CQ$25)</f>
        <v>1390</v>
      </c>
      <c r="T11">
        <f>SUMIF('Noviembre 19'!$E$5:$E$23,$A11,'Noviembre 19'!$C$5:CQ$25)</f>
        <v>0</v>
      </c>
      <c r="U11">
        <f>SUMIF('Diciembre 19'!$E$5:$E$23,$A11,'Diciembre 19'!$C$5:CQ$25)</f>
        <v>1348</v>
      </c>
      <c r="V11">
        <f>SUMIF('Enero 20'!$E$5:$E$23,$A11,'Enero 20'!$C$5:CQ$25)</f>
        <v>1348</v>
      </c>
      <c r="W11">
        <f>SUMIF('Febrero 20'!$E$5:$E$23,$A11,'Febrero 20'!$C$5:CQ$25)</f>
        <v>1348</v>
      </c>
      <c r="X11">
        <f>SUMIF('Marzo 20'!$E$5:$E$23,$A11,'Marzo 20'!$C$5:CQ$25)</f>
        <v>2860</v>
      </c>
      <c r="Y11">
        <f>SUMIF('Abril 20'!$E$5:$E$23,$A11,'Abril 20'!$C$5:CQ$25)</f>
        <v>0</v>
      </c>
      <c r="Z11">
        <f>SUMIF('Mayo 20'!$E$5:$E$23,$A11,'Mayo 20'!$C$5:CQ$25)</f>
        <v>2794</v>
      </c>
      <c r="AA11">
        <f>SUMIF('Junio 20'!$E$5:$E$23,$A11,'Junio 20'!$C$5:CQ$25)</f>
        <v>0</v>
      </c>
      <c r="AB11">
        <f>SUMIF('Julio 20'!$E$5:$E$23,$A11,'Julio 20'!$C$5:CQ$25)</f>
        <v>0</v>
      </c>
      <c r="AC11">
        <f>SUMIF('Agosto 20'!$E$5:$E$23,$A11,'Agosto 20'!$C$5:CQ$25)</f>
        <v>7092</v>
      </c>
      <c r="AD11">
        <f>SUMIF('Septiembre 20'!$E$5:$E$23,$A11,'Septiembre 20'!$C$5:CQ$25)</f>
        <v>0</v>
      </c>
      <c r="AE11">
        <f>SUMIF('octubre 20'!$E$5:$E$23,$A11,'octubre 20'!$C$5:CQ$25)</f>
        <v>4176</v>
      </c>
      <c r="AF11">
        <f>SUMIF('noviembre 20'!$E$5:$E$23,$A11,'noviembre 20'!$C$5:CQ$25)</f>
        <v>0</v>
      </c>
      <c r="AG11">
        <f>SUMIF('diciembre 20'!$E$5:$E$23,$A11,'diciembre 20'!$C$5:CQ$25)</f>
        <v>2745</v>
      </c>
      <c r="AH11">
        <f>SUMIF('enero 21'!$E$5:$E$23,$A11,'enero 21'!$C$5:CQ$25)</f>
        <v>0</v>
      </c>
      <c r="AI11">
        <f>SUMIF('febrero 21'!$E$5:$E$23,$A11,'febrero 21'!$C$5:CQ$25)</f>
        <v>1470</v>
      </c>
      <c r="AJ11">
        <f>SUMIF('marzo 21'!$E$5:$E$23,$A11,'marzo 21'!$C$5:CQ$25)</f>
        <v>0</v>
      </c>
      <c r="AK11">
        <f>SUMIF('abril 21'!$E$5:$E$23,$A11,'abril 21'!$C$5:CQ$25)</f>
        <v>0</v>
      </c>
      <c r="AL11">
        <f>SUMIF('mayo 21'!$E$5:$E$23,$A11,'mayo 21'!$C$5:CQ$25)</f>
        <v>4484</v>
      </c>
      <c r="AM11">
        <f>SUMIF('Junio 21'!$E$5:$E$23,$A11,'Junio 21'!$C$5:CQ$25)</f>
        <v>0</v>
      </c>
      <c r="AN11">
        <f>SUMIF('Julio 21'!$E$5:$E$23,$A11,'Julio 21'!$C$5:CQ$25)</f>
        <v>4562</v>
      </c>
      <c r="AO11">
        <f>SUMIF('Agosto 21'!$E$5:$E$23,$A11,'Agosto 21'!$C$5:CQ$25)</f>
        <v>0</v>
      </c>
      <c r="AP11">
        <f>SUMIF('Septiembre 21'!$E$5:$E$23,$A11,'Septiembre 21'!$C$5:CQ$25)</f>
        <v>3233</v>
      </c>
      <c r="AQ11">
        <f>SUMIF('Octubre 21'!$E$5:$E$23,$A11,'Octubre 21'!$C$5:CQ$25)</f>
        <v>0</v>
      </c>
      <c r="AR11">
        <f>SUMIF('Noviembre 21'!$E$5:$E$23,$A11,'Noviembre 21'!$C$5:CQ$25)</f>
        <v>3382</v>
      </c>
      <c r="AS11">
        <f>SUMIF('Diciembre 21'!$E$5:$E$23,$A11,'Noviembre 21'!$C$5:CQ$25)</f>
        <v>3382</v>
      </c>
      <c r="AT11">
        <f>SUMIF('Enero 22'!$E$5:$E$23,$A11,'Enero 22'!$C$5:CQ$25)</f>
        <v>1600</v>
      </c>
      <c r="AU11">
        <f>SUMIF('Febrero 22'!$E$5:$E$23,$A11,'Febrero 22'!$C$5:CQ$25)</f>
        <v>0</v>
      </c>
      <c r="AV11">
        <f>SUMIF('Marzo 22'!$E$5:$E$23,$A11,'Marzo 22'!$C$5:CQ$25)</f>
        <v>1689</v>
      </c>
      <c r="AW11">
        <f>SUMIF('Abril 22'!$E$5:$E$23,$A11,'Abril 22'!$C$5:CQ$25)</f>
        <v>0</v>
      </c>
      <c r="AX11">
        <f>SUMIF('Mayo 22'!$E$5:$E$23,$A11,'Mayo 22'!$C$5:CQ$25)</f>
        <v>1800</v>
      </c>
      <c r="AY11">
        <f>SUMIF('Junio 22'!$E$5:$E$23,$A11,'Junio 22'!$C$5:CQ$25)</f>
        <v>0</v>
      </c>
      <c r="AZ11">
        <f>SUMIF('Julio 22'!$E$5:$E$23,$A11,'Julio 22'!$C$5:CQ$25)</f>
        <v>0</v>
      </c>
      <c r="BA11">
        <f>SUMIF('Agosto 22'!$E$5:$E$23,$A11,'Agosto 22'!$C$5:CQ$25)</f>
        <v>0</v>
      </c>
      <c r="BB11">
        <f>SUMIF('septiembre 22'!$E$5:$E$23,$A11,'septiembre 22'!$C$5:CQ$25)</f>
        <v>1824</v>
      </c>
      <c r="BC11">
        <f>SUMIF('octubre 22'!$E$5:$E$23,$A11,'octubre 22'!$C$5:CQ$25)</f>
        <v>0</v>
      </c>
      <c r="BD11">
        <f>SUMIF('noviembre 22'!$E$5:$E$23,$A11,'noviembre 22'!$C$5:CQ$25)</f>
        <v>0</v>
      </c>
      <c r="BE11">
        <f>SUMIF('diciembre 22'!$E$5:$E$23,$A11,'noviembre 22'!$C$5:CQ$25)</f>
        <v>0</v>
      </c>
      <c r="BF11">
        <f>SUMIF('Enero 23'!$E$5:$E$23,$A11,'Enero 23'!$C$5:CQ$25)</f>
        <v>0</v>
      </c>
      <c r="BG11">
        <f>SUMIF('Febrero 23'!$E$5:$E$23,$A11,'Febrero 23'!$C$5:CQ$25)</f>
        <v>0</v>
      </c>
      <c r="BH11">
        <f>SUMIF('Marzo 23'!$E$5:$E$23,$A11,'Marzo 23'!$C$5:CQ$25)</f>
        <v>0</v>
      </c>
      <c r="BI11">
        <f>SUMIF('Abril 23'!$E$5:$E$23,$A11,'Abril 23'!$C$5:CQ$25)</f>
        <v>1887</v>
      </c>
      <c r="BJ11">
        <f>SUMIF('Mayo 23'!$E$5:$E$23,$A11,'Mayo 23'!$C$5:CQ$25)</f>
        <v>0</v>
      </c>
      <c r="BK11">
        <f>SUMIF('Junio 23'!$E$5:$E$23,$A11,'Junio 23'!$C$5:CQ$25)</f>
        <v>0</v>
      </c>
      <c r="BL11">
        <f>SUMIF('Julio 23'!$E$5:$E$23,$A11,'Julio 23'!$C$5:CQ$25)</f>
        <v>0</v>
      </c>
      <c r="BM11">
        <f>SUMIF('Agosto 23'!$E$5:$E$23,$A11,'Agosto 23'!$C$5:CQ$25)</f>
        <v>0</v>
      </c>
      <c r="BN11">
        <f>SUMIF('Septiembre 23'!$E$5:$E$23,$A11,'Septiembre 23'!$C$5:CQ$25)</f>
        <v>0</v>
      </c>
      <c r="BO11">
        <f>SUMIF('Octubre 23'!$E$5:$E$23,$A11,'Octubre 23'!$C$5:CQ$25)</f>
        <v>0</v>
      </c>
      <c r="BP11">
        <f>SUMIF('Noviembre 23'!$E$5:$E$23,$A11,'Noviembre 23'!$C$5:CQ$25)</f>
        <v>0</v>
      </c>
      <c r="BQ11">
        <f>SUMIF('Diciembre 23'!$E$5:$E$23,$A11,'Diciembre 23'!$C$5:CQ$25)</f>
        <v>0</v>
      </c>
      <c r="BR11">
        <f>SUMIF('Enero 24'!$E$5:$E$23,$A11,'Enero 24'!$C$5:CQ$25)</f>
        <v>0</v>
      </c>
      <c r="BS11">
        <f>SUMIF('Febrero 24'!$E$5:$E$23,$A11,'Febrero 24'!$C$5:CQ$25)</f>
        <v>0</v>
      </c>
      <c r="BT11">
        <f>SUMIF('Marzo 24'!$E$5:$E$23,$A11,'Marzo 24'!$C$5:CQ$25)</f>
        <v>3958</v>
      </c>
      <c r="BU11">
        <f>SUMIF('abril 24'!$E$5:$E$23,$A11,'abril 24'!$C$5:CQ$25)</f>
        <v>0</v>
      </c>
      <c r="BV11">
        <f>SUMIF('Mayo 24'!$E$5:$E$23,$A11,'Mayo 24'!$C$5:CQ$25)</f>
        <v>6321</v>
      </c>
      <c r="BW11">
        <f>SUMIF('Junio 24'!$E$5:$E$23,$A11,'Junio 24'!$C$5:CQ$25)</f>
        <v>0</v>
      </c>
      <c r="BX11">
        <f>SUMIF('Julio 24'!$E$5:$E$23,$A11,'Julio 24'!$C$5:CQ$25)</f>
        <v>6300</v>
      </c>
      <c r="BY11">
        <f>SUMIF('Agosto 24'!$E$5:$E$23,$A11,'Agosto 24'!$C$5:CQ$25)</f>
        <v>0</v>
      </c>
      <c r="BZ11">
        <f>SUMIF('Septiembre 24'!$E$5:$E$23,$A11,'Septiembre 24'!$C$5:CQ$25)</f>
        <v>5873</v>
      </c>
      <c r="CA11">
        <f>SUMIF('Octubre 24'!$E$5:$E$23,$A11,'Octubre 24'!$C$5:CQ$25)</f>
        <v>5873</v>
      </c>
      <c r="CB11">
        <f>SUMIF('Noviembre 24'!$E$5:$E$23,$A11,'Noviembre 24'!$C$5:CQ$25)</f>
        <v>5873</v>
      </c>
      <c r="CC11">
        <f>SUMIF('Diciembre 24'!$E$5:$E$23,$A11,'Diciembre 24'!$C$5:CQ$25)</f>
        <v>5873</v>
      </c>
      <c r="CD11">
        <f>SUMIF('Enero 25'!$E$5:$E$23,$A11,'Enero 25'!$C$5:CQ$25)</f>
        <v>2000</v>
      </c>
      <c r="CE11">
        <f>SUMIF('febrero 25'!$E$5:$E$23,$A11,'febrero 25'!$C$5:CQ$25)</f>
        <v>2000</v>
      </c>
      <c r="CF11">
        <f>SUMIF('marzo 25'!$E$5:$E$23,$A11,'marzo 25'!$C$5:CQ$25)</f>
        <v>4150</v>
      </c>
      <c r="CG11">
        <f>SUMIF('abril 25'!$E$5:$E$23,$A11,'abril 25'!$C$5:CQ$25)</f>
        <v>4150</v>
      </c>
      <c r="CH11">
        <f>SUMIF('Mayo 25'!$E$5:$E$23,$A11,'Mayo 25'!$C$5:CQ$25)</f>
        <v>6318</v>
      </c>
      <c r="CI11">
        <f>SUMIF('Junio 25'!$E$5:$E$23,$A11,'Junio 25'!$C$5:CQ$25)</f>
        <v>0</v>
      </c>
      <c r="CJ11">
        <f>SUMIF('Julio 25'!$E$5:$E$23,$A11,'Julio 25'!$C$5:CQ$25)</f>
        <v>8600</v>
      </c>
      <c r="CK11">
        <f>SUMIF('Agosto 25'!$E$5:$E$23,$A11,'Agosto 25'!$C$5:CQ$25)</f>
        <v>8600</v>
      </c>
      <c r="CL11">
        <f>SUMIF('Septiembre 25'!$E$5:$E$23,$A11,'Septiembre 25'!$C$5:CQ$25)</f>
        <v>6300</v>
      </c>
      <c r="CM11">
        <f>SUMIF('Octubre 25'!$E$5:$E$23,$A11,'Octubre 25'!$C$5:CQ$25)</f>
        <v>6300</v>
      </c>
      <c r="CN11">
        <f>SUMIF('noviembre 25'!$E$5:$E$23,$A11,'noviembre 25'!$C$5:CQ$25)</f>
        <v>4100</v>
      </c>
    </row>
    <row r="12">
      <c r="A12" s="146" t="s">
        <v>27</v>
      </c>
      <c r="B12" s="147">
        <f t="shared" si="1"/>
        <v>0</v>
      </c>
      <c r="C12" s="107">
        <f t="shared" si="2"/>
        <v>0</v>
      </c>
      <c r="D12" s="126">
        <f t="shared" si="3"/>
        <v>0</v>
      </c>
      <c r="E12">
        <f>SUMIF(Agosto!$E$5:$E$25,$A12,Agosto!$C$5:$C$25)</f>
        <v>211060</v>
      </c>
      <c r="F12">
        <f>SUMIF(Septiembre!$E$5:$E$25,$A12,Septiembre!$C$5:$C$25)</f>
        <v>60000</v>
      </c>
      <c r="G12">
        <f>SUMIF(octubre!$E$5:E$25,$A12,octubre!$C$5:$C$25)</f>
        <v>72885</v>
      </c>
      <c r="H12">
        <f>SUMIF(noviembre!$E$5:F$25,$A12,noviembre!$C$5:$C$25)</f>
        <v>10750</v>
      </c>
      <c r="I12">
        <f>SUMIF(Diciembre!$E$5:CQ$25,$A12,Diciembre!$C$5:$C$25)</f>
        <v>41000</v>
      </c>
      <c r="J12">
        <f>SUMIF(Enero!$E$5:E$25,$A12,Enero!$C$5:$C$25)</f>
        <v>19209</v>
      </c>
      <c r="K12">
        <f>SUMIF(febrero!$E$5:$E$25,$A12,febrero!$C$5:CQ$25)</f>
        <v>0</v>
      </c>
      <c r="L12" s="127">
        <f>SUMIF(Marzo!$E$5:$E$25,$A12,Marzo!$C$5:CQ$25)</f>
        <v>0</v>
      </c>
      <c r="M12">
        <f>SUMIF(Abril!$E$5:$E$25,$A12,Abril!$C$5:CQ$25)</f>
        <v>0</v>
      </c>
      <c r="N12">
        <f>SUMIF(Mayo!$E$5:$E$25,$A12,Mayo!$C$5:CQ$25)</f>
        <v>0</v>
      </c>
      <c r="O12">
        <f>SUMIF(Junio!$E$5:$E$25,$A12,Junio!$C$5:CQ$25)</f>
        <v>0</v>
      </c>
      <c r="P12">
        <f>SUMIF(Julio!$E$5:$E$25,$A12,Julio!$C$5:CQ$25)</f>
        <v>0</v>
      </c>
      <c r="Q12">
        <f>SUMIF('Agosto 19'!$E$5:$E$23,$A12,'Agosto 19'!$C$5:CQ$25)</f>
        <v>0</v>
      </c>
      <c r="R12">
        <f>SUMIF('Septiembre 19'!$E$5:$E$23,$A12,'Septiembre 19'!$C$5:CQ$25)</f>
        <v>0</v>
      </c>
      <c r="S12">
        <f>SUMIF('Octubre 19'!$E$5:$E$23,$A12,'Octubre 19'!$C$5:CQ$25)</f>
        <v>0</v>
      </c>
      <c r="T12">
        <f>SUMIF('Noviembre 19'!$E$5:$E$23,$A12,'Noviembre 19'!$C$5:CQ$25)</f>
        <v>0</v>
      </c>
      <c r="U12">
        <f>SUMIF('Diciembre 19'!$E$5:$E$23,$A12,'Diciembre 19'!$C$5:CQ$25)</f>
        <v>0</v>
      </c>
      <c r="V12">
        <f>SUMIF('Enero 20'!$E$5:$E$23,$A12,'Enero 20'!$C$5:CQ$25)</f>
        <v>0</v>
      </c>
      <c r="W12">
        <f>SUMIF('Febrero 20'!$E$5:$E$23,$A12,'Febrero 20'!$C$5:CQ$25)</f>
        <v>0</v>
      </c>
      <c r="X12">
        <f>SUMIF('Marzo 20'!$E$5:$E$23,$A12,'Marzo 20'!$C$5:CQ$25)</f>
        <v>0</v>
      </c>
      <c r="Y12">
        <f>SUMIF('Abril 20'!$E$5:$E$23,$A12,'Abril 20'!$C$5:CQ$25)</f>
        <v>0</v>
      </c>
      <c r="Z12">
        <f>SUMIF('Mayo 20'!$E$5:$E$23,$A12,'Mayo 20'!$C$5:CQ$25)</f>
        <v>0</v>
      </c>
      <c r="AA12">
        <f>SUMIF('Junio 20'!$E$5:$E$23,$A12,'Junio 20'!$C$5:CQ$25)</f>
        <v>0</v>
      </c>
      <c r="AB12">
        <f>SUMIF('Julio 20'!$E$5:$E$23,$A12,'Julio 20'!$C$5:CQ$25)</f>
        <v>0</v>
      </c>
      <c r="AC12">
        <f>SUMIF('Agosto 20'!$E$5:$E$23,$A12,'Agosto 20'!$C$5:CQ$25)</f>
        <v>0</v>
      </c>
      <c r="AD12">
        <f>SUMIF('Septiembre 20'!$E$5:$E$23,$A12,'Septiembre 20'!$C$5:CQ$25)</f>
        <v>0</v>
      </c>
      <c r="AE12">
        <f>SUMIF('octubre 20'!$E$5:$E$23,$A12,'octubre 20'!$C$5:CQ$25)</f>
        <v>0</v>
      </c>
      <c r="AF12">
        <f>SUMIF('noviembre 20'!$E$5:$E$23,$A12,'noviembre 20'!$C$5:CQ$25)</f>
        <v>0</v>
      </c>
      <c r="AG12">
        <f>SUMIF('diciembre 20'!$E$5:$E$23,$A12,'diciembre 20'!$C$5:CQ$25)</f>
        <v>0</v>
      </c>
      <c r="AH12">
        <f>SUMIF('enero 21'!$E$5:$E$23,$A12,'enero 21'!$C$5:CQ$25)</f>
        <v>0</v>
      </c>
      <c r="AI12">
        <f>SUMIF('febrero 21'!$E$5:$E$23,$A12,'febrero 21'!$C$5:CQ$25)</f>
        <v>0</v>
      </c>
      <c r="AJ12">
        <f>SUMIF('marzo 21'!$E$5:$E$23,$A12,'marzo 21'!$C$5:CQ$25)</f>
        <v>0</v>
      </c>
      <c r="AK12">
        <f>SUMIF('abril 21'!$E$5:$E$23,$A12,'abril 21'!$C$5:CQ$25)</f>
        <v>0</v>
      </c>
      <c r="AL12">
        <f>SUMIF('mayo 21'!$E$5:$E$23,$A12,'mayo 21'!$C$5:CQ$25)</f>
        <v>0</v>
      </c>
      <c r="AM12">
        <f>SUMIF('Junio 21'!$E$5:$E$23,$A12,'Junio 21'!$C$5:CQ$25)</f>
        <v>0</v>
      </c>
      <c r="AN12">
        <f>SUMIF('Julio 21'!$E$5:$E$23,$A12,'Julio 21'!$C$5:CQ$25)</f>
        <v>0</v>
      </c>
      <c r="AO12">
        <f>SUMIF('Agosto 21'!$E$5:$E$23,$A12,'Agosto 21'!$C$5:CQ$25)</f>
        <v>0</v>
      </c>
      <c r="AP12">
        <f>SUMIF('Septiembre 21'!$E$5:$E$23,$A12,'Septiembre 21'!$C$5:CQ$25)</f>
        <v>0</v>
      </c>
      <c r="AQ12">
        <f>SUMIF('Octubre 21'!$E$5:$E$23,$A12,'Octubre 21'!$C$5:CQ$25)</f>
        <v>0</v>
      </c>
      <c r="AR12">
        <f>SUMIF('Noviembre 21'!$E$5:$E$23,$A12,'Noviembre 21'!$C$5:CQ$25)</f>
        <v>0</v>
      </c>
      <c r="AS12">
        <f>SUMIF('Diciembre 21'!$E$5:$E$23,$A12,'Noviembre 21'!$C$5:CQ$25)</f>
        <v>0</v>
      </c>
      <c r="AT12">
        <f>SUMIF('Enero 22'!$E$5:$E$23,$A12,'Enero 22'!$C$5:CQ$25)</f>
        <v>0</v>
      </c>
      <c r="AU12">
        <f>SUMIF('Febrero 22'!$E$5:$E$23,$A12,'Febrero 22'!$C$5:CQ$25)</f>
        <v>0</v>
      </c>
      <c r="AV12">
        <f>SUMIF('Marzo 22'!$E$5:$E$23,$A12,'Marzo 22'!$C$5:CQ$25)</f>
        <v>0</v>
      </c>
      <c r="AW12">
        <f>SUMIF('Abril 22'!$E$5:$E$23,$A12,'Abril 22'!$C$5:CQ$25)</f>
        <v>0</v>
      </c>
      <c r="AX12">
        <f>SUMIF('Mayo 22'!$E$5:$E$23,$A12,'Mayo 22'!$C$5:CQ$25)</f>
        <v>0</v>
      </c>
      <c r="AY12">
        <f>SUMIF('Junio 22'!$E$5:$E$23,$A12,'Junio 22'!$C$5:CQ$25)</f>
        <v>0</v>
      </c>
      <c r="AZ12">
        <f>SUMIF('Julio 22'!$E$5:$E$23,$A12,'Julio 22'!$C$5:CQ$25)</f>
        <v>0</v>
      </c>
      <c r="BA12">
        <f>SUMIF('Agosto 22'!$E$5:$E$23,$A12,'Agosto 22'!$C$5:CQ$25)</f>
        <v>0</v>
      </c>
      <c r="BB12">
        <f>SUMIF('septiembre 22'!$E$5:$E$23,$A12,'septiembre 22'!$C$5:CQ$25)</f>
        <v>0</v>
      </c>
      <c r="BC12">
        <f>SUMIF('octubre 22'!$E$5:$E$23,$A12,'octubre 22'!$C$5:CQ$25)</f>
        <v>0</v>
      </c>
      <c r="BD12">
        <f>SUMIF('noviembre 22'!$E$5:$E$23,$A12,'noviembre 22'!$C$5:CQ$25)</f>
        <v>0</v>
      </c>
      <c r="BE12">
        <f>SUMIF('diciembre 22'!$E$5:$E$23,$A12,'noviembre 22'!$C$5:CQ$25)</f>
        <v>0</v>
      </c>
      <c r="BF12">
        <f>SUMIF('Enero 23'!$E$5:$E$23,$A12,'Enero 23'!$C$5:CQ$25)</f>
        <v>0</v>
      </c>
      <c r="BG12">
        <f>SUMIF('Febrero 23'!$E$5:$E$23,$A12,'Febrero 23'!$C$5:CQ$25)</f>
        <v>0</v>
      </c>
      <c r="BH12">
        <f>SUMIF('Marzo 23'!$E$5:$E$23,$A12,'Marzo 23'!$C$5:CQ$25)</f>
        <v>0</v>
      </c>
      <c r="BI12">
        <f>SUMIF('Abril 23'!$E$5:$E$23,$A12,'Abril 23'!$C$5:CQ$25)</f>
        <v>0</v>
      </c>
      <c r="BJ12">
        <f>SUMIF('Mayo 23'!$E$5:$E$23,$A12,'Mayo 23'!$C$5:CQ$25)</f>
        <v>0</v>
      </c>
      <c r="BK12">
        <f>SUMIF('Junio 23'!$E$5:$E$23,$A12,'Junio 23'!$C$5:CQ$25)</f>
        <v>0</v>
      </c>
      <c r="BL12">
        <f>SUMIF('Julio 23'!$E$5:$E$23,$A12,'Julio 23'!$C$5:CQ$25)</f>
        <v>0</v>
      </c>
      <c r="BM12">
        <f>SUMIF('Agosto 23'!$E$5:$E$23,$A12,'Agosto 23'!$C$5:CQ$25)</f>
        <v>0</v>
      </c>
      <c r="BN12">
        <f>SUMIF('Septiembre 23'!$E$5:$E$23,$A12,'Septiembre 23'!$C$5:CQ$25)</f>
        <v>0</v>
      </c>
      <c r="BO12">
        <f>SUMIF('Octubre 23'!$E$5:$E$23,$A12,'Octubre 23'!$C$5:CQ$25)</f>
        <v>0</v>
      </c>
      <c r="BP12">
        <f>SUMIF('Noviembre 23'!$E$5:$E$23,$A12,'Noviembre 23'!$C$5:CQ$25)</f>
        <v>0</v>
      </c>
      <c r="BQ12">
        <f>SUMIF('Diciembre 23'!$E$5:$E$23,$A12,'Diciembre 23'!$C$5:CQ$25)</f>
        <v>0</v>
      </c>
      <c r="BR12">
        <f>SUMIF('Enero 24'!$E$5:$E$23,$A12,'Enero 24'!$C$5:CQ$25)</f>
        <v>0</v>
      </c>
      <c r="BS12">
        <f>SUMIF('Febrero 24'!$E$5:$E$23,$A12,'Febrero 24'!$C$5:CQ$25)</f>
        <v>0</v>
      </c>
      <c r="BT12">
        <f>SUMIF('Marzo 24'!$E$5:$E$23,$A12,'Marzo 24'!$C$5:CQ$25)</f>
        <v>0</v>
      </c>
      <c r="BU12">
        <f>SUMIF('abril 24'!$E$5:$E$23,$A12,'abril 24'!$C$5:CQ$25)</f>
        <v>0</v>
      </c>
      <c r="BV12">
        <f>SUMIF('Mayo 24'!$E$5:$E$23,$A12,'Mayo 24'!$C$5:CQ$25)</f>
        <v>0</v>
      </c>
      <c r="BW12">
        <f>SUMIF('Junio 24'!$E$5:$E$23,$A12,'Junio 24'!$C$5:CQ$25)</f>
        <v>0</v>
      </c>
      <c r="BX12">
        <f>SUMIF('Julio 24'!$E$5:$E$23,$A12,'Julio 24'!$C$5:CQ$25)</f>
        <v>0</v>
      </c>
      <c r="BY12">
        <f>SUMIF('Agosto 24'!$E$5:$E$23,$A12,'Agosto 24'!$C$5:CQ$25)</f>
        <v>0</v>
      </c>
      <c r="BZ12">
        <f>SUMIF('Septiembre 24'!$E$5:$E$23,$A12,'Septiembre 24'!$C$5:CQ$25)</f>
        <v>0</v>
      </c>
      <c r="CA12">
        <f>SUMIF('Octubre 24'!$E$5:$E$23,$A12,'Octubre 24'!$C$5:CQ$25)</f>
        <v>0</v>
      </c>
      <c r="CB12">
        <f>SUMIF('Noviembre 24'!$E$5:$E$23,$A12,'Noviembre 24'!$C$5:CQ$25)</f>
        <v>0</v>
      </c>
      <c r="CC12">
        <f>SUMIF('Diciembre 24'!$E$5:$E$23,$A12,'Diciembre 24'!$C$5:CQ$25)</f>
        <v>0</v>
      </c>
      <c r="CD12">
        <f>SUMIF('Enero 25'!$E$5:$E$23,$A12,'Enero 25'!$C$5:CQ$25)</f>
        <v>0</v>
      </c>
      <c r="CE12">
        <f>SUMIF('febrero 25'!$E$5:$E$23,$A12,'febrero 25'!$C$5:CQ$25)</f>
        <v>0</v>
      </c>
      <c r="CF12">
        <f>SUMIF('marzo 25'!$E$5:$E$23,$A12,'marzo 25'!$C$5:CQ$25)</f>
        <v>0</v>
      </c>
      <c r="CG12">
        <f>SUMIF('abril 25'!$E$5:$E$23,$A12,'abril 25'!$C$5:CQ$25)</f>
        <v>0</v>
      </c>
      <c r="CH12">
        <f>SUMIF('Mayo 25'!$E$5:$E$23,$A12,'Mayo 25'!$C$5:CQ$25)</f>
        <v>0</v>
      </c>
      <c r="CI12">
        <f>SUMIF('Junio 25'!$E$5:$E$23,$A12,'Junio 25'!$C$5:CQ$25)</f>
        <v>0</v>
      </c>
      <c r="CJ12">
        <f>SUMIF('Julio 25'!$E$5:$E$23,$A12,'Julio 25'!$C$5:CQ$25)</f>
        <v>0</v>
      </c>
      <c r="CK12">
        <f>SUMIF('Agosto 25'!$E$5:$E$23,$A12,'Agosto 25'!$C$5:CQ$25)</f>
        <v>0</v>
      </c>
      <c r="CL12">
        <f>SUMIF('Septiembre 25'!$E$5:$E$23,$A12,'Septiembre 25'!$C$5:CQ$25)</f>
        <v>0</v>
      </c>
      <c r="CM12">
        <f>SUMIF('Octubre 25'!$E$5:$E$23,$A12,'Octubre 25'!$C$5:CQ$25)</f>
        <v>0</v>
      </c>
      <c r="CN12">
        <f>SUMIF('noviembre 25'!$E$5:$E$23,$A12,'noviembre 25'!$C$5:CQ$25)</f>
        <v>0</v>
      </c>
    </row>
    <row r="13">
      <c r="A13" s="146" t="s">
        <v>413</v>
      </c>
      <c r="B13" s="147">
        <f t="shared" si="1"/>
        <v>0</v>
      </c>
      <c r="C13" s="107">
        <f t="shared" si="2"/>
        <v>0</v>
      </c>
      <c r="D13" s="126">
        <f t="shared" si="3"/>
        <v>0</v>
      </c>
      <c r="E13">
        <f>SUMIF(Agosto!$E$5:$E$25,$A13,Agosto!$C$5:$C$25)</f>
        <v>22000</v>
      </c>
      <c r="F13">
        <f>SUMIF(Septiembre!$E$5:$E$25,$A13,Septiembre!$C$5:$C$25)</f>
        <v>20000</v>
      </c>
      <c r="G13">
        <f>SUMIF(octubre!$E$5:E$25,$A13,octubre!$C$5:$C$25)</f>
        <v>53600</v>
      </c>
      <c r="H13">
        <f>SUMIF(noviembre!$E$5:F$25,$A13,noviembre!$C$5:$C$25)</f>
        <v>20000</v>
      </c>
      <c r="I13">
        <f>SUMIF(Diciembre!$E$5:CQ$25,$A13,Diciembre!$C$5:$C$25)</f>
        <v>0</v>
      </c>
      <c r="J13">
        <f>SUMIF(Enero!$E$5:E$25,$A13,Enero!$C$5:$C$25)</f>
        <v>20000</v>
      </c>
      <c r="K13">
        <f>SUMIF(febrero!$E$5:$E$25,$A13,febrero!$C$5:CQ$25)</f>
        <v>20000</v>
      </c>
      <c r="L13" s="127">
        <f>SUMIF(Marzo!$E$5:$E$25,$A13,Marzo!$C$5:CQ$25)</f>
        <v>20000</v>
      </c>
      <c r="M13">
        <f>SUMIF(Abril!$E$5:$E$25,$A13,Abril!$C$5:CQ$25)</f>
        <v>10000</v>
      </c>
      <c r="N13">
        <f>SUMIF(Mayo!$E$5:$E$25,$A13,Mayo!$C$5:CQ$25)</f>
        <v>10000</v>
      </c>
      <c r="O13">
        <f>SUMIF(Junio!$E$5:$E$25,$A13,Junio!$C$5:CQ$25)</f>
        <v>10000</v>
      </c>
      <c r="P13">
        <f>SUMIF(Julio!$E$5:$E$25,$A13,Julio!$C$5:CQ$25)</f>
        <v>20000</v>
      </c>
      <c r="Q13">
        <f>SUMIF('Agosto 19'!$E$5:$E$23,$A13,'Agosto 19'!$C$5:CQ$25)</f>
        <v>30000</v>
      </c>
      <c r="R13">
        <f>SUMIF('Septiembre 19'!$E$5:$E$23,$A13,'Septiembre 19'!$C$5:CQ$25)</f>
        <v>20000</v>
      </c>
      <c r="S13">
        <f>SUMIF('Octubre 19'!$E$5:$E$23,$A13,'Octubre 19'!$C$5:CQ$25)</f>
        <v>20000</v>
      </c>
      <c r="T13">
        <f>SUMIF('Noviembre 19'!$E$5:$E$23,$A13,'Noviembre 19'!$C$5:CQ$25)</f>
        <v>20000</v>
      </c>
      <c r="U13">
        <f>SUMIF('Diciembre 19'!$E$5:$E$23,$A13,'Diciembre 19'!$C$5:CQ$25)</f>
        <v>20000</v>
      </c>
      <c r="V13">
        <f>SUMIF('Enero 20'!$E$5:$E$23,$A13,'Enero 20'!$C$5:CQ$25)</f>
        <v>20000</v>
      </c>
      <c r="W13">
        <f>SUMIF('Febrero 20'!$E$5:$E$23,$A13,'Febrero 20'!$C$5:CQ$25)</f>
        <v>20000</v>
      </c>
      <c r="X13">
        <f>SUMIF('Marzo 20'!$E$5:$E$23,$A13,'Marzo 20'!$C$5:CQ$25)</f>
        <v>20000</v>
      </c>
      <c r="Y13">
        <f>SUMIF('Abril 20'!$E$5:$E$23,$A13,'Abril 20'!$C$5:CQ$25)</f>
        <v>20000</v>
      </c>
      <c r="Z13">
        <f>SUMIF('Mayo 20'!$E$5:$E$23,$A13,'Mayo 20'!$C$5:CQ$25)</f>
        <v>20000</v>
      </c>
      <c r="AA13">
        <f>SUMIF('Junio 20'!$E$5:$E$23,$A13,'Junio 20'!$C$5:CQ$25)</f>
        <v>20000</v>
      </c>
      <c r="AB13">
        <f>SUMIF('Julio 20'!$E$5:$E$23,$A13,'Julio 20'!$C$5:CQ$25)</f>
        <v>20000</v>
      </c>
      <c r="AC13">
        <f>SUMIF('Agosto 20'!$E$5:$E$23,$A13,'Agosto 20'!$C$5:CQ$25)</f>
        <v>29000</v>
      </c>
      <c r="AD13">
        <f>SUMIF('Septiembre 20'!$E$5:$E$23,$A13,'Septiembre 20'!$C$5:CQ$25)</f>
        <v>20000</v>
      </c>
      <c r="AE13">
        <f>SUMIF('octubre 20'!$E$5:$E$23,$A13,'octubre 20'!$C$5:CQ$25)</f>
        <v>0</v>
      </c>
      <c r="AF13">
        <f>SUMIF('noviembre 20'!$E$5:$E$23,$A13,'noviembre 20'!$C$5:CQ$25)</f>
        <v>20000</v>
      </c>
      <c r="AG13">
        <f>SUMIF('diciembre 20'!$E$5:$E$23,$A13,'diciembre 20'!$C$5:CQ$25)</f>
        <v>20000</v>
      </c>
      <c r="AH13">
        <f>SUMIF('enero 21'!$E$5:$E$23,$A13,'enero 21'!$C$5:CQ$25)</f>
        <v>10000</v>
      </c>
      <c r="AI13">
        <f>SUMIF('febrero 21'!$E$5:$E$23,$A13,'febrero 21'!$C$5:CQ$25)</f>
        <v>0</v>
      </c>
      <c r="AJ13">
        <f>SUMIF('marzo 21'!$E$5:$E$23,$A13,'marzo 21'!$C$5:CQ$25)</f>
        <v>0</v>
      </c>
      <c r="AK13">
        <f>SUMIF('abril 21'!$E$5:$E$23,$A13,'abril 21'!$C$5:CQ$25)</f>
        <v>0</v>
      </c>
      <c r="AL13">
        <f>SUMIF('mayo 21'!$E$5:$E$23,$A13,'mayo 21'!$C$5:CQ$25)</f>
        <v>0</v>
      </c>
      <c r="AM13">
        <f>SUMIF('Junio 21'!$E$5:$E$23,$A13,'Junio 21'!$C$5:CQ$25)</f>
        <v>0</v>
      </c>
      <c r="AN13">
        <f>SUMIF('Julio 21'!$E$5:$E$23,$A13,'Julio 21'!$C$5:CQ$25)</f>
        <v>0</v>
      </c>
      <c r="AO13">
        <f>SUMIF('Agosto 21'!$E$5:$E$23,$A13,'Agosto 21'!$C$5:CQ$25)</f>
        <v>0</v>
      </c>
      <c r="AP13">
        <f>SUMIF('Septiembre 21'!$E$5:$E$23,$A13,'Septiembre 21'!$C$5:CQ$25)</f>
        <v>0</v>
      </c>
      <c r="AQ13">
        <f>SUMIF('Octubre 21'!$E$5:$E$23,$A13,'Octubre 21'!$C$5:CQ$25)</f>
        <v>0</v>
      </c>
      <c r="AR13">
        <f>SUMIF('Noviembre 21'!$E$5:$E$23,$A13,'Noviembre 21'!$C$5:CQ$25)</f>
        <v>0</v>
      </c>
      <c r="AS13">
        <f>SUMIF('Diciembre 21'!$E$5:$E$23,$A13,'Noviembre 21'!$C$5:CQ$25)</f>
        <v>0</v>
      </c>
      <c r="AT13">
        <f>SUMIF('Enero 22'!$E$5:$E$23,$A13,'Enero 22'!$C$5:CQ$25)</f>
        <v>0</v>
      </c>
      <c r="AU13">
        <f>SUMIF('Febrero 22'!$E$5:$E$23,$A13,'Febrero 22'!$C$5:CQ$25)</f>
        <v>0</v>
      </c>
      <c r="AV13">
        <f>SUMIF('Marzo 22'!$E$5:$E$23,$A13,'Marzo 22'!$C$5:CQ$25)</f>
        <v>0</v>
      </c>
      <c r="AW13">
        <f>SUMIF('Abril 22'!$E$5:$E$23,$A13,'Abril 22'!$C$5:CQ$25)</f>
        <v>0</v>
      </c>
      <c r="AX13">
        <f>SUMIF('Mayo 22'!$E$5:$E$23,$A13,'Mayo 22'!$C$5:CQ$25)</f>
        <v>0</v>
      </c>
      <c r="AY13">
        <f>SUMIF('Junio 22'!$E$5:$E$23,$A13,'Junio 22'!$C$5:CQ$25)</f>
        <v>0</v>
      </c>
      <c r="AZ13">
        <f>SUMIF('Julio 22'!$E$5:$E$23,$A13,'Julio 22'!$C$5:CQ$25)</f>
        <v>0</v>
      </c>
      <c r="BA13">
        <f>SUMIF('Agosto 22'!$E$5:$E$23,$A13,'Agosto 22'!$C$5:CQ$25)</f>
        <v>0</v>
      </c>
      <c r="BB13">
        <f>SUMIF('septiembre 22'!$E$5:$E$23,$A13,'septiembre 22'!$C$5:CQ$25)</f>
        <v>0</v>
      </c>
      <c r="BC13">
        <f>SUMIF('octubre 22'!$E$5:$E$23,$A13,'octubre 22'!$C$5:CQ$25)</f>
        <v>0</v>
      </c>
      <c r="BD13">
        <f>SUMIF('noviembre 22'!$E$5:$E$23,$A13,'noviembre 22'!$C$5:CQ$25)</f>
        <v>0</v>
      </c>
      <c r="BE13">
        <f>SUMIF('diciembre 22'!$E$5:$E$23,$A13,'noviembre 22'!$C$5:CQ$25)</f>
        <v>0</v>
      </c>
      <c r="BF13">
        <f>SUMIF('Enero 23'!$E$5:$E$23,$A13,'Enero 23'!$C$5:CQ$25)</f>
        <v>0</v>
      </c>
      <c r="BG13">
        <f>SUMIF('Febrero 23'!$E$5:$E$23,$A13,'Febrero 23'!$C$5:CQ$25)</f>
        <v>0</v>
      </c>
      <c r="BH13">
        <f>SUMIF('Marzo 23'!$E$5:$E$23,$A13,'Marzo 23'!$C$5:CQ$25)</f>
        <v>0</v>
      </c>
      <c r="BI13">
        <f>SUMIF('Abril 23'!$E$5:$E$23,$A13,'Abril 23'!$C$5:CQ$25)</f>
        <v>0</v>
      </c>
      <c r="BJ13">
        <f>SUMIF('Mayo 23'!$E$5:$E$23,$A13,'Mayo 23'!$C$5:CQ$25)</f>
        <v>0</v>
      </c>
      <c r="BK13">
        <f>SUMIF('Junio 23'!$E$5:$E$23,$A13,'Junio 23'!$C$5:CQ$25)</f>
        <v>0</v>
      </c>
      <c r="BL13">
        <f>SUMIF('Julio 23'!$E$5:$E$23,$A13,'Julio 23'!$C$5:CQ$25)</f>
        <v>0</v>
      </c>
      <c r="BM13">
        <f>SUMIF('Agosto 23'!$E$5:$E$23,$A13,'Agosto 23'!$C$5:CQ$25)</f>
        <v>0</v>
      </c>
      <c r="BN13">
        <f>SUMIF('Septiembre 23'!$E$5:$E$23,$A13,'Septiembre 23'!$C$5:CQ$25)</f>
        <v>0</v>
      </c>
      <c r="BO13">
        <f>SUMIF('Octubre 23'!$E$5:$E$23,$A13,'Octubre 23'!$C$5:CQ$25)</f>
        <v>0</v>
      </c>
      <c r="BP13">
        <f>SUMIF('Noviembre 23'!$E$5:$E$23,$A13,'Noviembre 23'!$C$5:CQ$25)</f>
        <v>0</v>
      </c>
      <c r="BQ13">
        <f>SUMIF('Diciembre 23'!$E$5:$E$23,$A13,'Diciembre 23'!$C$5:CQ$25)</f>
        <v>0</v>
      </c>
      <c r="BR13">
        <f>SUMIF('Enero 24'!$E$5:$E$23,$A13,'Enero 24'!$C$5:CQ$25)</f>
        <v>0</v>
      </c>
      <c r="BS13">
        <f>SUMIF('Febrero 24'!$E$5:$E$23,$A13,'Febrero 24'!$C$5:CQ$25)</f>
        <v>0</v>
      </c>
      <c r="BT13">
        <f>SUMIF('Marzo 24'!$E$5:$E$23,$A13,'Marzo 24'!$C$5:CQ$25)</f>
        <v>0</v>
      </c>
      <c r="BU13">
        <f>SUMIF('abril 24'!$E$5:$E$23,$A13,'abril 24'!$C$5:CQ$25)</f>
        <v>0</v>
      </c>
      <c r="BV13">
        <f>SUMIF('Mayo 24'!$E$5:$E$23,$A13,'Mayo 24'!$C$5:CQ$25)</f>
        <v>0</v>
      </c>
      <c r="BW13">
        <f>SUMIF('Junio 24'!$E$5:$E$23,$A13,'Junio 24'!$C$5:CQ$25)</f>
        <v>0</v>
      </c>
      <c r="BX13">
        <f>SUMIF('Julio 24'!$E$5:$E$23,$A13,'Julio 24'!$C$5:CQ$25)</f>
        <v>0</v>
      </c>
      <c r="BY13">
        <f>SUMIF('Agosto 24'!$E$5:$E$23,$A13,'Agosto 24'!$C$5:CQ$25)</f>
        <v>0</v>
      </c>
      <c r="BZ13">
        <f>SUMIF('Septiembre 24'!$E$5:$E$23,$A13,'Septiembre 24'!$C$5:CQ$25)</f>
        <v>0</v>
      </c>
      <c r="CA13">
        <f>SUMIF('Octubre 24'!$E$5:$E$23,$A13,'Octubre 24'!$C$5:CQ$25)</f>
        <v>0</v>
      </c>
      <c r="CB13">
        <f>SUMIF('Noviembre 24'!$E$5:$E$23,$A13,'Noviembre 24'!$C$5:CQ$25)</f>
        <v>0</v>
      </c>
      <c r="CC13">
        <f>SUMIF('Diciembre 24'!$E$5:$E$23,$A13,'Diciembre 24'!$C$5:CQ$25)</f>
        <v>0</v>
      </c>
      <c r="CD13">
        <f>SUMIF('Enero 25'!$E$5:$E$23,$A13,'Enero 25'!$C$5:CQ$25)</f>
        <v>0</v>
      </c>
      <c r="CE13">
        <f>SUMIF('febrero 25'!$E$5:$E$23,$A13,'febrero 25'!$C$5:CQ$25)</f>
        <v>0</v>
      </c>
      <c r="CF13">
        <f>SUMIF('marzo 25'!$E$5:$E$23,$A13,'marzo 25'!$C$5:CQ$25)</f>
        <v>0</v>
      </c>
      <c r="CG13">
        <f>SUMIF('abril 25'!$E$5:$E$23,$A13,'abril 25'!$C$5:CQ$25)</f>
        <v>0</v>
      </c>
      <c r="CH13">
        <f>SUMIF('Mayo 25'!$E$5:$E$23,$A13,'Mayo 25'!$C$5:CQ$25)</f>
        <v>0</v>
      </c>
      <c r="CI13">
        <f>SUMIF('Junio 25'!$E$5:$E$23,$A13,'Junio 25'!$C$5:CQ$25)</f>
        <v>0</v>
      </c>
      <c r="CJ13">
        <f>SUMIF('Julio 25'!$E$5:$E$23,$A13,'Julio 25'!$C$5:CQ$25)</f>
        <v>0</v>
      </c>
      <c r="CK13">
        <f>SUMIF('Agosto 25'!$E$5:$E$23,$A13,'Agosto 25'!$C$5:CQ$25)</f>
        <v>0</v>
      </c>
      <c r="CL13">
        <f>SUMIF('Septiembre 25'!$E$5:$E$23,$A13,'Septiembre 25'!$C$5:CQ$25)</f>
        <v>0</v>
      </c>
      <c r="CM13">
        <f>SUMIF('Octubre 25'!$E$5:$E$23,$A13,'Octubre 25'!$C$5:CQ$25)</f>
        <v>0</v>
      </c>
      <c r="CN13">
        <f>SUMIF('noviembre 25'!$E$5:$E$23,$A13,'noviembre 25'!$C$5:CQ$25)</f>
        <v>0</v>
      </c>
    </row>
    <row r="14">
      <c r="A14" s="146" t="s">
        <v>414</v>
      </c>
      <c r="B14" s="147">
        <f t="shared" si="1"/>
        <v>0</v>
      </c>
      <c r="C14" s="107">
        <f t="shared" si="2"/>
        <v>0</v>
      </c>
      <c r="D14" s="126">
        <f t="shared" si="3"/>
        <v>0</v>
      </c>
      <c r="E14">
        <f>SUMIF(Agosto!$E$5:$E$25,$A14,Agosto!$C$5:$C$25)</f>
        <v>0</v>
      </c>
      <c r="F14">
        <f>SUMIF(Septiembre!$E$5:$E$25,$A14,Septiembre!$C$5:$C$25)</f>
        <v>0</v>
      </c>
      <c r="G14">
        <f>SUMIF(octubre!$E$5:E$25,$A14,octubre!$C$5:$C$25)</f>
        <v>0</v>
      </c>
      <c r="H14">
        <f>SUMIF(noviembre!$E$5:F$25,$A14,noviembre!$C$5:$C$25)</f>
        <v>0</v>
      </c>
      <c r="I14">
        <f>SUMIF(Diciembre!$E$5:CQ$25,$A14,Diciembre!$C$5:$C$25)</f>
        <v>0</v>
      </c>
      <c r="J14">
        <f>SUMIF(Enero!$E$5:E$25,$A14,Enero!$C$5:$C$25)</f>
        <v>0</v>
      </c>
      <c r="K14">
        <f>SUMIF(febrero!$E$5:$E$25,$A14,febrero!$C$5:CQ$25)</f>
        <v>24175</v>
      </c>
      <c r="L14" s="127">
        <f>SUMIF(Marzo!$E$5:$E$25,$A14,Marzo!$C$5:CQ$25)</f>
        <v>24175</v>
      </c>
      <c r="M14">
        <f>SUMIF(Abril!$E$5:$E$25,$A14,Abril!$C$5:CQ$25)</f>
        <v>24175</v>
      </c>
      <c r="N14">
        <f>SUMIF(Mayo!$E$5:$E$25,$A14,Mayo!$C$5:CQ$25)</f>
        <v>24175</v>
      </c>
      <c r="O14">
        <f>SUMIF(Junio!$E$5:$E$25,$A14,Junio!$C$5:CQ$25)</f>
        <v>0</v>
      </c>
      <c r="P14">
        <f>SUMIF(Julio!$E$5:$E$25,$A14,Julio!$C$5:CQ$25)</f>
        <v>12087.5</v>
      </c>
      <c r="Q14">
        <f>SUMIF('Agosto 19'!$E$5:$E$23,$A14,'Agosto 19'!$C$5:CQ$25)</f>
        <v>18131.25</v>
      </c>
      <c r="R14">
        <f>SUMIF('Septiembre 19'!$E$5:$E$23,$A14,'Septiembre 19'!$C$5:CQ$25)</f>
        <v>18131.25</v>
      </c>
      <c r="S14">
        <f>SUMIF('Octubre 19'!$E$5:$E$23,$A14,'Octubre 19'!$C$5:CQ$25)</f>
        <v>6571</v>
      </c>
      <c r="T14">
        <f>SUMIF('Noviembre 19'!$E$5:$E$23,$A14,'Noviembre 19'!$C$5:CQ$25)</f>
        <v>13142</v>
      </c>
      <c r="U14">
        <f>SUMIF('Diciembre 19'!$E$5:$E$23,$A14,'Diciembre 19'!$C$5:CQ$25)</f>
        <v>13142</v>
      </c>
      <c r="V14">
        <f>SUMIF('Enero 20'!$E$5:$E$23,$A14,'Enero 20'!$C$5:CQ$25)</f>
        <v>13142</v>
      </c>
      <c r="W14">
        <f>SUMIF('Febrero 20'!$E$5:$E$23,$A14,'Febrero 20'!$C$5:CQ$25)</f>
        <v>13142</v>
      </c>
      <c r="X14">
        <f>SUMIF('Marzo 20'!$E$5:$E$23,$A14,'Marzo 20'!$C$5:CQ$25)</f>
        <v>13142</v>
      </c>
      <c r="Y14">
        <f>SUMIF('Abril 20'!$E$5:$E$23,$A14,'Abril 20'!$C$5:CQ$25)</f>
        <v>3500</v>
      </c>
      <c r="Z14">
        <f>SUMIF('Mayo 20'!$E$5:$E$23,$A14,'Mayo 20'!$C$5:CQ$25)</f>
        <v>13142</v>
      </c>
      <c r="AA14">
        <f>SUMIF('Junio 20'!$E$5:$E$23,$A14,'Junio 20'!$C$5:CQ$25)</f>
        <v>13142</v>
      </c>
      <c r="AB14">
        <f>SUMIF('Julio 20'!$E$5:$E$23,$A14,'Julio 20'!$C$5:CQ$25)</f>
        <v>13142</v>
      </c>
      <c r="AC14">
        <f>SUMIF('Agosto 20'!$E$5:$E$23,$A14,'Agosto 20'!$C$5:CQ$25)</f>
        <v>13142</v>
      </c>
      <c r="AD14">
        <f>SUMIF('Septiembre 20'!$E$5:$E$23,$A14,'Septiembre 20'!$C$5:CQ$25)</f>
        <v>13142</v>
      </c>
      <c r="AE14">
        <f>SUMIF('octubre 20'!$E$5:$E$23,$A14,'octubre 20'!$C$5:CQ$25)</f>
        <v>13142</v>
      </c>
      <c r="AF14">
        <f>SUMIF('noviembre 20'!$E$5:$E$23,$A14,'noviembre 20'!$C$5:CQ$25)</f>
        <v>0</v>
      </c>
      <c r="AG14">
        <f>SUMIF('diciembre 20'!$E$5:$E$23,$A14,'diciembre 20'!$C$5:CQ$25)</f>
        <v>0</v>
      </c>
      <c r="AH14">
        <f>SUMIF('enero 21'!$E$5:$E$23,$A14,'enero 21'!$C$5:CQ$25)</f>
        <v>0</v>
      </c>
      <c r="AI14">
        <f>SUMIF('febrero 21'!$E$5:$E$23,$A14,'febrero 21'!$C$5:CQ$25)</f>
        <v>0</v>
      </c>
      <c r="AJ14">
        <f>SUMIF('marzo 21'!$E$5:$E$23,$A14,'marzo 21'!$C$5:CQ$25)</f>
        <v>0</v>
      </c>
      <c r="AK14">
        <f>SUMIF('abril 21'!$E$5:$E$23,$A14,'abril 21'!$C$5:CQ$25)</f>
        <v>0</v>
      </c>
      <c r="AL14">
        <f>SUMIF('mayo 21'!$E$5:$E$23,$A14,'mayo 21'!$C$5:CQ$25)</f>
        <v>0</v>
      </c>
      <c r="AM14">
        <f>SUMIF('Junio 21'!$E$5:$E$23,$A14,'Junio 21'!$C$5:CQ$25)</f>
        <v>0</v>
      </c>
      <c r="AN14">
        <f>SUMIF('Julio 21'!$E$5:$E$23,$A14,'Julio 21'!$C$5:CQ$25)</f>
        <v>0</v>
      </c>
      <c r="AO14">
        <f>SUMIF('Agosto 21'!$E$5:$E$23,$A14,'Agosto 21'!$C$5:CQ$25)</f>
        <v>0</v>
      </c>
      <c r="AP14">
        <f>SUMIF('Septiembre 21'!$E$5:$E$23,$A14,'Septiembre 21'!$C$5:CQ$25)</f>
        <v>0</v>
      </c>
      <c r="AQ14">
        <f>SUMIF('Octubre 21'!$E$5:$E$23,$A14,'Octubre 21'!$C$5:CQ$25)</f>
        <v>0</v>
      </c>
      <c r="AR14">
        <f>SUMIF('Noviembre 21'!$E$5:$E$23,$A14,'Noviembre 21'!$C$5:CQ$25)</f>
        <v>0</v>
      </c>
      <c r="AS14">
        <f>SUMIF('Diciembre 21'!$E$5:$E$23,$A14,'Noviembre 21'!$C$5:CQ$25)</f>
        <v>0</v>
      </c>
      <c r="AT14">
        <f>SUMIF('Enero 22'!$E$5:$E$23,$A14,'Enero 22'!$C$5:CQ$25)</f>
        <v>0</v>
      </c>
      <c r="AU14">
        <f>SUMIF('Febrero 22'!$E$5:$E$23,$A14,'Febrero 22'!$C$5:CQ$25)</f>
        <v>0</v>
      </c>
      <c r="AV14">
        <f>SUMIF('Marzo 22'!$E$5:$E$23,$A14,'Marzo 22'!$C$5:CQ$25)</f>
        <v>0</v>
      </c>
      <c r="AW14">
        <f>SUMIF('Abril 22'!$E$5:$E$23,$A14,'Abril 22'!$C$5:CQ$25)</f>
        <v>0</v>
      </c>
      <c r="AX14">
        <f>SUMIF('Mayo 22'!$E$5:$E$23,$A14,'Mayo 22'!$C$5:CQ$25)</f>
        <v>0</v>
      </c>
      <c r="AY14">
        <f>SUMIF('Junio 22'!$E$5:$E$23,$A14,'Junio 22'!$C$5:CQ$25)</f>
        <v>0</v>
      </c>
      <c r="AZ14">
        <f>SUMIF('Julio 22'!$E$5:$E$23,$A14,'Julio 22'!$C$5:CQ$25)</f>
        <v>0</v>
      </c>
      <c r="BA14">
        <f>SUMIF('Agosto 22'!$E$5:$E$23,$A14,'Agosto 22'!$C$5:CQ$25)</f>
        <v>0</v>
      </c>
      <c r="BB14">
        <f>SUMIF('septiembre 22'!$E$5:$E$23,$A14,'septiembre 22'!$C$5:CQ$25)</f>
        <v>0</v>
      </c>
      <c r="BC14">
        <f>SUMIF('octubre 22'!$E$5:$E$23,$A14,'octubre 22'!$C$5:CQ$25)</f>
        <v>0</v>
      </c>
      <c r="BD14">
        <f>SUMIF('noviembre 22'!$E$5:$E$23,$A14,'noviembre 22'!$C$5:CQ$25)</f>
        <v>0</v>
      </c>
      <c r="BE14">
        <f>SUMIF('diciembre 22'!$E$5:$E$23,$A14,'noviembre 22'!$C$5:CQ$25)</f>
        <v>0</v>
      </c>
      <c r="BF14">
        <f>SUMIF('Enero 23'!$E$5:$E$23,$A14,'Enero 23'!$C$5:CQ$25)</f>
        <v>0</v>
      </c>
      <c r="BG14">
        <f>SUMIF('Febrero 23'!$E$5:$E$23,$A14,'Febrero 23'!$C$5:CQ$25)</f>
        <v>0</v>
      </c>
      <c r="BH14">
        <f>SUMIF('Marzo 23'!$E$5:$E$23,$A14,'Marzo 23'!$C$5:CQ$25)</f>
        <v>0</v>
      </c>
      <c r="BI14">
        <f>SUMIF('Abril 23'!$E$5:$E$23,$A14,'Abril 23'!$C$5:CQ$25)</f>
        <v>0</v>
      </c>
      <c r="BJ14">
        <f>SUMIF('Mayo 23'!$E$5:$E$23,$A14,'Mayo 23'!$C$5:CQ$25)</f>
        <v>0</v>
      </c>
      <c r="BK14">
        <f>SUMIF('Junio 23'!$E$5:$E$23,$A14,'Junio 23'!$C$5:CQ$25)</f>
        <v>0</v>
      </c>
      <c r="BL14">
        <f>SUMIF('Julio 23'!$E$5:$E$23,$A14,'Julio 23'!$C$5:CQ$25)</f>
        <v>0</v>
      </c>
      <c r="BM14">
        <f>SUMIF('Agosto 23'!$E$5:$E$23,$A14,'Agosto 23'!$C$5:CQ$25)</f>
        <v>0</v>
      </c>
      <c r="BN14">
        <f>SUMIF('Septiembre 23'!$E$5:$E$23,$A14,'Septiembre 23'!$C$5:CQ$25)</f>
        <v>0</v>
      </c>
      <c r="BO14">
        <f>SUMIF('Octubre 23'!$E$5:$E$23,$A14,'Octubre 23'!$C$5:CQ$25)</f>
        <v>0</v>
      </c>
      <c r="BP14">
        <f>SUMIF('Noviembre 23'!$E$5:$E$23,$A14,'Noviembre 23'!$C$5:CQ$25)</f>
        <v>0</v>
      </c>
      <c r="BQ14">
        <f>SUMIF('Diciembre 23'!$E$5:$E$23,$A14,'Diciembre 23'!$C$5:CQ$25)</f>
        <v>0</v>
      </c>
      <c r="BR14">
        <f>SUMIF('Enero 24'!$E$5:$E$23,$A14,'Enero 24'!$C$5:CQ$25)</f>
        <v>0</v>
      </c>
      <c r="BS14">
        <f>SUMIF('Febrero 24'!$E$5:$E$23,$A14,'Febrero 24'!$C$5:CQ$25)</f>
        <v>0</v>
      </c>
      <c r="BT14">
        <f>SUMIF('Marzo 24'!$E$5:$E$23,$A14,'Marzo 24'!$C$5:CQ$25)</f>
        <v>0</v>
      </c>
      <c r="BU14">
        <f>SUMIF('abril 24'!$E$5:$E$23,$A14,'abril 24'!$C$5:CQ$25)</f>
        <v>0</v>
      </c>
      <c r="BV14">
        <f>SUMIF('Mayo 24'!$E$5:$E$23,$A14,'Mayo 24'!$C$5:CQ$25)</f>
        <v>0</v>
      </c>
      <c r="BW14">
        <f>SUMIF('Junio 24'!$E$5:$E$23,$A14,'Junio 24'!$C$5:CQ$25)</f>
        <v>0</v>
      </c>
      <c r="BX14">
        <f>SUMIF('Julio 24'!$E$5:$E$23,$A14,'Julio 24'!$C$5:CQ$25)</f>
        <v>0</v>
      </c>
      <c r="BY14">
        <f>SUMIF('Agosto 24'!$E$5:$E$23,$A14,'Agosto 24'!$C$5:CQ$25)</f>
        <v>0</v>
      </c>
      <c r="BZ14">
        <f>SUMIF('Septiembre 24'!$E$5:$E$23,$A14,'Septiembre 24'!$C$5:CQ$25)</f>
        <v>0</v>
      </c>
      <c r="CA14">
        <f>SUMIF('Octubre 24'!$E$5:$E$23,$A14,'Octubre 24'!$C$5:CQ$25)</f>
        <v>0</v>
      </c>
      <c r="CB14">
        <f>SUMIF('Noviembre 24'!$E$5:$E$23,$A14,'Noviembre 24'!$C$5:CQ$25)</f>
        <v>0</v>
      </c>
      <c r="CC14">
        <f>SUMIF('Diciembre 24'!$E$5:$E$23,$A14,'Diciembre 24'!$C$5:CQ$25)</f>
        <v>0</v>
      </c>
      <c r="CD14">
        <f>SUMIF('Enero 25'!$E$5:$E$23,$A14,'Enero 25'!$C$5:CQ$25)</f>
        <v>0</v>
      </c>
      <c r="CE14">
        <f>SUMIF('febrero 25'!$E$5:$E$23,$A14,'febrero 25'!$C$5:CQ$25)</f>
        <v>0</v>
      </c>
      <c r="CF14">
        <f>SUMIF('marzo 25'!$E$5:$E$23,$A14,'marzo 25'!$C$5:CQ$25)</f>
        <v>0</v>
      </c>
      <c r="CG14">
        <f>SUMIF('abril 25'!$E$5:$E$23,$A14,'abril 25'!$C$5:CQ$25)</f>
        <v>0</v>
      </c>
      <c r="CH14">
        <f>SUMIF('Mayo 25'!$E$5:$E$23,$A14,'Mayo 25'!$C$5:CQ$25)</f>
        <v>0</v>
      </c>
      <c r="CI14">
        <f>SUMIF('Junio 25'!$E$5:$E$23,$A14,'Junio 25'!$C$5:CQ$25)</f>
        <v>0</v>
      </c>
      <c r="CJ14">
        <f>SUMIF('Julio 25'!$E$5:$E$23,$A14,'Julio 25'!$C$5:CQ$25)</f>
        <v>0</v>
      </c>
      <c r="CK14">
        <f>SUMIF('Agosto 25'!$E$5:$E$23,$A14,'Agosto 25'!$C$5:CQ$25)</f>
        <v>0</v>
      </c>
      <c r="CL14">
        <f>SUMIF('Septiembre 25'!$E$5:$E$23,$A14,'Septiembre 25'!$C$5:CQ$25)</f>
        <v>0</v>
      </c>
      <c r="CM14">
        <f>SUMIF('Octubre 25'!$E$5:$E$23,$A14,'Octubre 25'!$C$5:CQ$25)</f>
        <v>0</v>
      </c>
      <c r="CN14">
        <f>SUMIF('noviembre 25'!$E$5:$E$23,$A14,'noviembre 25'!$C$5:CQ$25)</f>
        <v>0</v>
      </c>
    </row>
    <row r="15">
      <c r="B15" s="147"/>
      <c r="C15" s="107"/>
      <c r="D15" s="126"/>
      <c r="L15" s="127"/>
    </row>
    <row r="16">
      <c r="A16" s="148" t="s">
        <v>415</v>
      </c>
      <c r="B16" s="149">
        <f t="shared" ref="B16:CQ16" si="4">SUM(B2:B15)</f>
        <v>1777219.684</v>
      </c>
      <c r="C16" s="149">
        <f t="shared" si="4"/>
        <v>644056</v>
      </c>
      <c r="D16" s="149">
        <f t="shared" si="4"/>
        <v>1159049.28</v>
      </c>
      <c r="E16" s="150">
        <f t="shared" si="4"/>
        <v>1345021</v>
      </c>
      <c r="F16" s="150">
        <f t="shared" si="4"/>
        <v>1061237</v>
      </c>
      <c r="G16" s="150">
        <f t="shared" si="4"/>
        <v>1162096</v>
      </c>
      <c r="H16" s="150">
        <f t="shared" si="4"/>
        <v>1024344</v>
      </c>
      <c r="I16" s="150">
        <f t="shared" si="4"/>
        <v>1120809</v>
      </c>
      <c r="J16" s="150">
        <f t="shared" si="4"/>
        <v>1082831</v>
      </c>
      <c r="K16" s="150">
        <f t="shared" si="4"/>
        <v>1086057</v>
      </c>
      <c r="L16" s="151">
        <f t="shared" si="4"/>
        <v>1101381</v>
      </c>
      <c r="M16" s="150">
        <f t="shared" si="4"/>
        <v>958966</v>
      </c>
      <c r="N16" s="150">
        <f t="shared" si="4"/>
        <v>947414</v>
      </c>
      <c r="O16" s="150">
        <f t="shared" si="4"/>
        <v>965301</v>
      </c>
      <c r="P16" s="150">
        <f t="shared" si="4"/>
        <v>963088.5</v>
      </c>
      <c r="Q16" s="150">
        <f t="shared" si="4"/>
        <v>968755.25</v>
      </c>
      <c r="R16" s="150">
        <f t="shared" si="4"/>
        <v>958514.25</v>
      </c>
      <c r="S16" s="150">
        <f t="shared" si="4"/>
        <v>939254</v>
      </c>
      <c r="T16" s="150">
        <f t="shared" si="4"/>
        <v>875532.6</v>
      </c>
      <c r="U16" s="150">
        <f t="shared" si="4"/>
        <v>927570.6</v>
      </c>
      <c r="V16" s="150">
        <f t="shared" si="4"/>
        <v>953684.6</v>
      </c>
      <c r="W16" s="150">
        <f t="shared" si="4"/>
        <v>838141</v>
      </c>
      <c r="X16" s="150">
        <f t="shared" si="4"/>
        <v>914012</v>
      </c>
      <c r="Y16" s="150">
        <f t="shared" si="4"/>
        <v>1027401</v>
      </c>
      <c r="Z16" s="150">
        <f t="shared" si="4"/>
        <v>998830</v>
      </c>
      <c r="AA16" s="150">
        <f t="shared" si="4"/>
        <v>1031415</v>
      </c>
      <c r="AB16" s="150">
        <f t="shared" si="4"/>
        <v>1072498</v>
      </c>
      <c r="AC16" s="150">
        <f t="shared" si="4"/>
        <v>1048950</v>
      </c>
      <c r="AD16" s="150">
        <f t="shared" si="4"/>
        <v>1110271</v>
      </c>
      <c r="AE16" s="150">
        <f t="shared" si="4"/>
        <v>917527</v>
      </c>
      <c r="AF16" s="150">
        <f t="shared" si="4"/>
        <v>898695</v>
      </c>
      <c r="AG16" s="150">
        <f t="shared" si="4"/>
        <v>871888</v>
      </c>
      <c r="AH16" s="150">
        <f t="shared" si="4"/>
        <v>919771</v>
      </c>
      <c r="AI16" s="150">
        <f t="shared" si="4"/>
        <v>845978</v>
      </c>
      <c r="AJ16" s="150">
        <f t="shared" si="4"/>
        <v>874806</v>
      </c>
      <c r="AK16" s="150">
        <f t="shared" si="4"/>
        <v>1041831</v>
      </c>
      <c r="AL16" s="150">
        <f t="shared" si="4"/>
        <v>1015479</v>
      </c>
      <c r="AM16" s="150">
        <f t="shared" si="4"/>
        <v>964243</v>
      </c>
      <c r="AN16" s="150">
        <f t="shared" si="4"/>
        <v>916567</v>
      </c>
      <c r="AO16" s="150">
        <f t="shared" si="4"/>
        <v>760774</v>
      </c>
      <c r="AP16" s="150">
        <f t="shared" si="4"/>
        <v>1057942</v>
      </c>
      <c r="AQ16" s="150">
        <f t="shared" si="4"/>
        <v>852937</v>
      </c>
      <c r="AR16" s="150">
        <f t="shared" si="4"/>
        <v>903949</v>
      </c>
      <c r="AS16" s="150">
        <f t="shared" si="4"/>
        <v>903949</v>
      </c>
      <c r="AT16" s="150">
        <f t="shared" si="4"/>
        <v>1112752.164</v>
      </c>
      <c r="AU16" s="150">
        <f t="shared" si="4"/>
        <v>1017095.164</v>
      </c>
      <c r="AV16" s="150">
        <f t="shared" si="4"/>
        <v>1285932.164</v>
      </c>
      <c r="AW16" s="150">
        <f t="shared" si="4"/>
        <v>1075337.164</v>
      </c>
      <c r="AX16" s="150">
        <f t="shared" si="4"/>
        <v>1160760.164</v>
      </c>
      <c r="AY16" s="150">
        <f t="shared" si="4"/>
        <v>1100837.164</v>
      </c>
      <c r="AZ16" s="150">
        <f t="shared" si="4"/>
        <v>1153387.164</v>
      </c>
      <c r="BA16" s="150">
        <f t="shared" si="4"/>
        <v>1074719.164</v>
      </c>
      <c r="BB16" s="150">
        <f t="shared" si="4"/>
        <v>1139790.164</v>
      </c>
      <c r="BC16" s="150">
        <f t="shared" si="4"/>
        <v>1192652.164</v>
      </c>
      <c r="BD16" s="150">
        <f t="shared" si="4"/>
        <v>1154585.164</v>
      </c>
      <c r="BE16" s="150">
        <f t="shared" si="4"/>
        <v>1154585.164</v>
      </c>
      <c r="BF16" s="150">
        <f t="shared" si="4"/>
        <v>1155821.164</v>
      </c>
      <c r="BG16" s="150">
        <f t="shared" si="4"/>
        <v>1063998.164</v>
      </c>
      <c r="BH16" s="150">
        <f t="shared" si="4"/>
        <v>1186964.164</v>
      </c>
      <c r="BI16" s="150">
        <f t="shared" si="4"/>
        <v>909870.1645</v>
      </c>
      <c r="BJ16" s="150">
        <f t="shared" si="4"/>
        <v>1024717.164</v>
      </c>
      <c r="BK16" s="150">
        <f t="shared" si="4"/>
        <v>1011411.164</v>
      </c>
      <c r="BL16" s="150">
        <f t="shared" si="4"/>
        <v>1073078.164</v>
      </c>
      <c r="BM16" s="150">
        <f t="shared" si="4"/>
        <v>1036731.164</v>
      </c>
      <c r="BN16" s="150">
        <f t="shared" si="4"/>
        <v>1075105.164</v>
      </c>
      <c r="BO16" s="150">
        <f t="shared" si="4"/>
        <v>1076063.164</v>
      </c>
      <c r="BP16" s="150">
        <f t="shared" si="4"/>
        <v>1084728.164</v>
      </c>
      <c r="BQ16" s="150">
        <f t="shared" si="4"/>
        <v>1099504.164</v>
      </c>
      <c r="BR16" s="150">
        <f t="shared" si="4"/>
        <v>947372.1645</v>
      </c>
      <c r="BS16" s="150">
        <f t="shared" si="4"/>
        <v>1023399.164</v>
      </c>
      <c r="BT16" s="150">
        <f t="shared" si="4"/>
        <v>1035723.164</v>
      </c>
      <c r="BU16" s="150">
        <f t="shared" si="4"/>
        <v>1358432.164</v>
      </c>
      <c r="BV16" s="150">
        <f t="shared" si="4"/>
        <v>1332080.604</v>
      </c>
      <c r="BW16" s="150">
        <f t="shared" si="4"/>
        <v>1357276.164</v>
      </c>
      <c r="BX16" s="150">
        <f t="shared" si="4"/>
        <v>1170683.164</v>
      </c>
      <c r="BY16" s="150">
        <f t="shared" si="4"/>
        <v>1374041.164</v>
      </c>
      <c r="BZ16" s="150">
        <f t="shared" si="4"/>
        <v>1443379.164</v>
      </c>
      <c r="CA16" s="150">
        <f t="shared" si="4"/>
        <v>1616985.684</v>
      </c>
      <c r="CB16" s="150">
        <f t="shared" si="4"/>
        <v>1385852.164</v>
      </c>
      <c r="CC16" s="150">
        <f t="shared" si="4"/>
        <v>1246896.164</v>
      </c>
      <c r="CD16" s="150">
        <f t="shared" si="4"/>
        <v>1273114.164</v>
      </c>
      <c r="CE16" s="150">
        <f t="shared" si="4"/>
        <v>1202248.164</v>
      </c>
      <c r="CF16" s="150">
        <f t="shared" si="4"/>
        <v>1321219.164</v>
      </c>
      <c r="CG16" s="150">
        <f t="shared" si="4"/>
        <v>1322759.164</v>
      </c>
      <c r="CH16" s="150">
        <f t="shared" si="4"/>
        <v>1361227.164</v>
      </c>
      <c r="CI16" s="150">
        <f t="shared" si="4"/>
        <v>1350734.164</v>
      </c>
      <c r="CJ16" s="150">
        <f t="shared" si="4"/>
        <v>1344784.164</v>
      </c>
      <c r="CK16" s="150">
        <f t="shared" si="4"/>
        <v>1461079.164</v>
      </c>
      <c r="CL16" s="150">
        <f t="shared" si="4"/>
        <v>1410059.164</v>
      </c>
      <c r="CM16" s="150">
        <f t="shared" si="4"/>
        <v>1399709.164</v>
      </c>
      <c r="CN16" s="150">
        <f t="shared" si="4"/>
        <v>1329609.164</v>
      </c>
      <c r="CO16" s="150">
        <f t="shared" si="4"/>
        <v>0</v>
      </c>
      <c r="CP16" s="150">
        <f t="shared" si="4"/>
        <v>0</v>
      </c>
      <c r="CQ16" s="150">
        <f t="shared" si="4"/>
        <v>0</v>
      </c>
    </row>
    <row r="17">
      <c r="B17" s="107">
        <f>B16-C16</f>
        <v>1133163.684</v>
      </c>
    </row>
    <row r="18">
      <c r="L18" s="152">
        <f>K5/J5</f>
        <v>1.011</v>
      </c>
      <c r="M18" s="106">
        <v>580000.0</v>
      </c>
    </row>
    <row r="19">
      <c r="L19" s="153">
        <v>0.016</v>
      </c>
      <c r="M19">
        <f>K5</f>
        <v>586380</v>
      </c>
      <c r="N19">
        <f t="shared" ref="N19:N21" si="5">(M19-M18)*6</f>
        <v>38280</v>
      </c>
    </row>
    <row r="20">
      <c r="L20" s="153">
        <v>0.022</v>
      </c>
      <c r="M20">
        <f t="shared" ref="M20:M21" si="6">M19*(1+L19)</f>
        <v>595762.08</v>
      </c>
      <c r="N20">
        <f t="shared" si="5"/>
        <v>56292.48</v>
      </c>
    </row>
    <row r="21">
      <c r="M21">
        <f t="shared" si="6"/>
        <v>608868.8458</v>
      </c>
      <c r="N21">
        <f t="shared" si="5"/>
        <v>78640.59456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176000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/>
      <c r="D5" s="174" t="s">
        <v>25</v>
      </c>
      <c r="E5" s="175" t="s">
        <v>25</v>
      </c>
      <c r="F5" s="18"/>
      <c r="G5" s="20"/>
      <c r="H5" s="172"/>
      <c r="I5" s="173">
        <f>SUMIF(F:F,"Pagado",C:C)</f>
        <v>176000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IFERROR(__xludf.DUMMYFUNCTION("19.38*Resumen!B1-2.12*GOOGLEFINANCE((""CURRENCY:CLF/CLP""))"),704652.445)</f>
        <v>704652.445</v>
      </c>
      <c r="D6" s="184" t="s">
        <v>20</v>
      </c>
      <c r="E6" s="185" t="s">
        <v>20</v>
      </c>
      <c r="F6" s="18"/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18990.0</v>
      </c>
      <c r="D7" s="184" t="s">
        <v>423</v>
      </c>
      <c r="E7" s="185" t="s">
        <v>23</v>
      </c>
      <c r="F7" s="18"/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/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/>
      <c r="D9" s="184" t="s">
        <v>21</v>
      </c>
      <c r="E9" s="185" t="s">
        <v>21</v>
      </c>
      <c r="F9" s="18"/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/>
      <c r="D10" s="184" t="s">
        <v>24</v>
      </c>
      <c r="E10" s="185" t="s">
        <v>24</v>
      </c>
      <c r="F10" s="18"/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/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176000</f>
        <v>176000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83</v>
      </c>
      <c r="E18" s="185" t="s">
        <v>30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29</v>
      </c>
      <c r="E19" s="185" t="s">
        <v>29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f>IFERROR(__xludf.DUMMYFUNCTION("14.04/12*GOOGLEFINANCE((""CURRENCY:CLF/CLP""))"),47766.127499999995)</f>
        <v>47766.1275</v>
      </c>
      <c r="D22" s="184"/>
      <c r="E22" s="185" t="s">
        <v>28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1634315.573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10000.0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1634315.573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IFERROR(__xludf.DUMMYFUNCTION("19.38*Resumen!B1-2.12*GOOGLEFINANCE((""CURRENCY:CLF/CLP""))"),704652.445)</f>
        <v>704652.445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18990.0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6405.0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275000.0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38733.0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/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311000</f>
        <v>311000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58000+32000+14080+17000</f>
        <v>121080</v>
      </c>
      <c r="D18" s="184" t="s">
        <v>83</v>
      </c>
      <c r="E18" s="185" t="s">
        <v>30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100000.0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f>IFERROR(__xludf.DUMMYFUNCTION("14.04/12*GOOGLEFINANCE((""CURRENCY:CLF/CLP""))"),47766.127499999995)</f>
        <v>47766.1275</v>
      </c>
      <c r="D22" s="184"/>
      <c r="E22" s="185" t="s">
        <v>28</v>
      </c>
      <c r="F22" s="18" t="s">
        <v>7</v>
      </c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1809132.035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11610.0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1809132.035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19.38*Resumen!B1-70000</f>
        <v>721203.035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19700.0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6405.0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237000.0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35412.0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194009+189000</f>
        <v>383009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63169+25000+43000+31000</f>
        <v>162169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115756+11400+10121</f>
        <v>137277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 t="s">
        <v>28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1928048.702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11610.0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1928048.702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19.38*Resumen!B1</f>
        <v>791203.035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19700.0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6405.0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237000.0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35412.0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194009+189000</f>
        <v>383009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63169+25000+43000+31000</f>
        <v>162169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115756+11400+10121</f>
        <v>137277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f>587000/12</f>
        <v>48916.66667</v>
      </c>
      <c r="D22" s="184"/>
      <c r="E22" s="185" t="s">
        <v>28</v>
      </c>
      <c r="F22" s="18" t="s">
        <v>7</v>
      </c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1987907.778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8640.0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1987907.778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19.37*Resumen!B1</f>
        <v>790794.7775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19700.0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4120.0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299000.0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38773.0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125000+88000</f>
        <v>213000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260000+75000+66000</f>
        <v>401000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180000.0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1119947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11250.0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1119947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/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19700.0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4120.0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171000.0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65530.0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138000+151000+30000</f>
        <v>319000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57000+52000+50000+52000+50000</f>
        <v>261000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136000.0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1352412.164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13250.0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1352412.164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25500.0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4000.0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198000.0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72000.0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44000</f>
        <v>44000</v>
      </c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220000.0</v>
      </c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202000</f>
        <v>202000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123000.0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1572719.164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10210.0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1572719.164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17500.0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/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257000.0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58000.0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44000</f>
        <v>44000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220000.0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110000</f>
        <v>110000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120000.0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1559662.164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6000.0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1559662.164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17500.0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4100.0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240000.0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20000.0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100000</f>
        <v>100000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169000.0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150000+46000+22000</f>
        <v>218000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12400+58000</f>
        <v>70400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913156.1645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9900.0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913156.1645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17500.0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6300.0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240000.0</v>
      </c>
      <c r="D9" s="184" t="s">
        <v>21</v>
      </c>
      <c r="E9" s="185" t="s">
        <v>21</v>
      </c>
      <c r="F9" s="18"/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29000.0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194000</f>
        <v>194000</v>
      </c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f>70000+60000</f>
        <v>130000</v>
      </c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53000</f>
        <v>53000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45000</f>
        <v>45000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1733806.164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8050.0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1733806.164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17500.0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6300.0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240000.0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41200.0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194000</f>
        <v>194000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f>70000+60000</f>
        <v>130000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23000+52000+150000+49000</f>
        <v>274000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74000+27000</f>
        <v>101000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0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9470.0</v>
      </c>
      <c r="D5" s="174" t="s">
        <v>25</v>
      </c>
      <c r="E5" s="175" t="s">
        <v>25</v>
      </c>
      <c r="F5" s="18"/>
      <c r="G5" s="20"/>
      <c r="H5" s="172"/>
      <c r="I5" s="173">
        <f>SUMIF(F:F,"Pagado",C:C)</f>
        <v>0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/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/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8600.0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270000.0</v>
      </c>
      <c r="D9" s="184" t="s">
        <v>21</v>
      </c>
      <c r="E9" s="185" t="s">
        <v>21</v>
      </c>
      <c r="F9" s="18"/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57000.0</v>
      </c>
      <c r="D10" s="184" t="s">
        <v>24</v>
      </c>
      <c r="E10" s="185" t="s">
        <v>24</v>
      </c>
      <c r="F10" s="18"/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/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f>204000+12000+40000</f>
        <v>256000</v>
      </c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70000.0</v>
      </c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35000+65000+52025+50500+30000</f>
        <v>232525</v>
      </c>
      <c r="D18" s="184" t="s">
        <v>83</v>
      </c>
      <c r="E18" s="185" t="s">
        <v>83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62378+30421</f>
        <v>92799</v>
      </c>
      <c r="D19" s="184" t="s">
        <v>29</v>
      </c>
      <c r="E19" s="185" t="s">
        <v>29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37000.0</v>
      </c>
      <c r="D21" s="184"/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1659070.164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10900.0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1659070.164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8600.0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225000.0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49275.0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229000.0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49000.0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20000.0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f>59000+52000+47000</f>
        <v>158000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32539+89000+18000+31000</f>
        <v>170539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1679884.164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10900.0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1679884.164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/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196000.0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36000.0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30000.0</v>
      </c>
      <c r="D15" s="184" t="s">
        <v>426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200825.0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124000.0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200000.0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f>11150+118000</f>
        <v>129150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 t="s">
        <v>29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 t="s">
        <v>29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1752227.164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12900.0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1752227.164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6318.0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240000.0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31500.0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37500.0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190000.0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90000.0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220000.0</v>
      </c>
      <c r="D18" s="184" t="s">
        <v>83</v>
      </c>
      <c r="E18" s="185" t="s">
        <v>83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86000.0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57000.0</v>
      </c>
      <c r="D20" s="184"/>
      <c r="E20" s="185" t="s">
        <v>29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28000.0</v>
      </c>
      <c r="D21" s="184"/>
      <c r="E21" s="185" t="s">
        <v>29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1466609.164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12100.0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1466609.164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4150.0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210000.0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32500.0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32000.0</v>
      </c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197000.0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82000.0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40000.0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140000.0</v>
      </c>
      <c r="D20" s="184"/>
      <c r="E20" s="185" t="s">
        <v>29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1438966.164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15860.0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1438966.164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4150.0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181000.0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40200.0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32000.0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213000.0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82000.0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132000.0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1294248.164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7500.0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1294248.164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15.6926*Resumen!B1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2000.0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195000.0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66739.0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85000.0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93000.0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94000.0</v>
      </c>
      <c r="D19" s="184" t="s">
        <v>29</v>
      </c>
      <c r="E19" s="185" t="s">
        <v>29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1273114.164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8362.0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1273114.164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17000.0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2000.0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217636.0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82107.0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174000.0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36000.0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1241023.164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4960.0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1241023.164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23990.0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5873.0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250000.0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24064.0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162000.0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40000.0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1135852.164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10180.0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1135852.164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5873.0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250000.0</v>
      </c>
      <c r="D9" s="184" t="s">
        <v>21</v>
      </c>
      <c r="E9" s="185" t="s">
        <v>21</v>
      </c>
      <c r="F9" s="18"/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43800.0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322000.0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112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1451112.684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160000</v>
      </c>
      <c r="O4" s="170"/>
      <c r="P4" s="170"/>
      <c r="Q4" s="171"/>
    </row>
    <row r="5" ht="19.5" customHeight="1">
      <c r="A5" s="18"/>
      <c r="B5" s="172"/>
      <c r="C5" s="173">
        <v>7950.0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1451112.684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5873.0</v>
      </c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227000.0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24676.0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32000.0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60000.0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f>(116+132+125)*D2</f>
        <v>345487.52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160000.0</v>
      </c>
      <c r="D18" s="184" t="s">
        <v>427</v>
      </c>
      <c r="E18" s="185" t="s">
        <v>19</v>
      </c>
      <c r="F18" s="18" t="s">
        <v>17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1344379.164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7810.0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1344379.164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5873.0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252000.0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27697.0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57000.0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80000.0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99000.0</v>
      </c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160000.0</v>
      </c>
      <c r="D18" s="184" t="s">
        <v>427</v>
      </c>
      <c r="E18" s="185" t="s">
        <v>19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1374041.164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9100.0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1374041.164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/>
      <c r="D8" s="184" t="s">
        <v>424</v>
      </c>
      <c r="E8" s="185" t="s">
        <v>26</v>
      </c>
      <c r="F8" s="18"/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251000.0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38432.0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39510.0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80000.0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99000.0</v>
      </c>
      <c r="D17" s="184" t="s">
        <v>112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103000.0</v>
      </c>
      <c r="D18" s="184" t="s">
        <v>427</v>
      </c>
      <c r="E18" s="185" t="s">
        <v>19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1170683.164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7490.0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1170683.164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82"/>
      <c r="C6" s="183">
        <f>IFERROR(__xludf.DUMMYFUNCTION("15.6926*GOOGLEFINANCE((""CURRENCY:CLFCLP""))"),640662.16445)</f>
        <v>640662.1645</v>
      </c>
      <c r="D6" s="184" t="s">
        <v>20</v>
      </c>
      <c r="E6" s="185" t="s">
        <v>20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17990.0</v>
      </c>
      <c r="D7" s="184" t="s">
        <v>423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6300.0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82"/>
      <c r="C9" s="183">
        <v>252000.0</v>
      </c>
      <c r="D9" s="184" t="s">
        <v>21</v>
      </c>
      <c r="E9" s="185" t="s">
        <v>21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38894.0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82"/>
      <c r="C11" s="192">
        <v>37000.0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82"/>
      <c r="C12" s="183">
        <v>37000.0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14253.0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7094.0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92000.0</v>
      </c>
      <c r="D15" s="184" t="s">
        <v>112</v>
      </c>
      <c r="E15" s="185" t="s">
        <v>19</v>
      </c>
      <c r="F15" s="202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20000.0</v>
      </c>
      <c r="D16" s="184" t="s">
        <v>112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/>
      <c r="D17" s="184" t="s">
        <v>112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D4:D34"/>
      <sortCondition ref="C4:C34"/>
      <sortCondition ref="F4:F34"/>
      <sortCondition ref="B4:B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1357276.164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20"/>
      <c r="H5" s="172"/>
      <c r="I5" s="173">
        <f>SUMIF(F:F,"Pagado",C:C)</f>
        <v>1357276.164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10320.0</v>
      </c>
      <c r="D6" s="184" t="s">
        <v>25</v>
      </c>
      <c r="E6" s="185" t="s">
        <v>25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7094.0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35993.0</v>
      </c>
      <c r="D8" s="184" t="s">
        <v>24</v>
      </c>
      <c r="E8" s="185" t="s">
        <v>24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14253.0</v>
      </c>
      <c r="D9" s="184" t="s">
        <v>18</v>
      </c>
      <c r="E9" s="185" t="s">
        <v>18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40000.0</v>
      </c>
      <c r="D10" s="184" t="s">
        <v>112</v>
      </c>
      <c r="E10" s="185" t="s">
        <v>19</v>
      </c>
      <c r="F10" s="202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52000.0</v>
      </c>
      <c r="D11" s="184" t="s">
        <v>112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17990.0</v>
      </c>
      <c r="D12" s="184" t="s">
        <v>23</v>
      </c>
      <c r="E12" s="185" t="s">
        <v>23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82"/>
      <c r="C13" s="183">
        <v>234964.0</v>
      </c>
      <c r="D13" s="184" t="s">
        <v>21</v>
      </c>
      <c r="E13" s="185" t="s">
        <v>21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8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82"/>
      <c r="C15" s="183">
        <v>164000.0</v>
      </c>
      <c r="D15" s="184" t="s">
        <v>112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82"/>
      <c r="C16" s="183">
        <v>37000.0</v>
      </c>
      <c r="D16" s="184" t="s">
        <v>425</v>
      </c>
      <c r="E16" s="185" t="s">
        <v>22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66000.0</v>
      </c>
      <c r="D17" s="184" t="s">
        <v>427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37000.0</v>
      </c>
      <c r="D18" s="184" t="s">
        <v>425</v>
      </c>
      <c r="E18" s="185" t="s">
        <v>22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1332080.604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>
        <v>6321.0</v>
      </c>
      <c r="D5" s="174" t="s">
        <v>424</v>
      </c>
      <c r="E5" s="175" t="s">
        <v>26</v>
      </c>
      <c r="F5" s="18" t="s">
        <v>7</v>
      </c>
      <c r="G5" s="18"/>
      <c r="H5" s="20"/>
      <c r="I5" s="172"/>
      <c r="J5" s="173">
        <f>SUMIF(F:F,"Pagado",C:C)</f>
        <v>1332080.604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7490.0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7094.0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30617.0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14253.0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f>146.66*884</f>
        <v>129647.44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v>67255.0</v>
      </c>
      <c r="D11" s="184" t="s">
        <v>112</v>
      </c>
      <c r="E11" s="185" t="s">
        <v>19</v>
      </c>
      <c r="F11" s="18" t="s">
        <v>7</v>
      </c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19777.0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226964.0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18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82"/>
      <c r="C15" s="183">
        <v>108000.0</v>
      </c>
      <c r="D15" s="184" t="s">
        <v>112</v>
      </c>
      <c r="E15" s="185" t="s">
        <v>19</v>
      </c>
      <c r="F15" s="18" t="s">
        <v>7</v>
      </c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182"/>
      <c r="C16" s="183">
        <v>37000.0</v>
      </c>
      <c r="D16" s="184" t="s">
        <v>425</v>
      </c>
      <c r="E16" s="185" t="s">
        <v>22</v>
      </c>
      <c r="F16" s="18" t="s">
        <v>7</v>
      </c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82"/>
      <c r="C17" s="183">
        <v>37000.0</v>
      </c>
      <c r="D17" s="184"/>
      <c r="E17" s="185" t="s">
        <v>22</v>
      </c>
      <c r="F17" s="18" t="s">
        <v>7</v>
      </c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8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1358432.164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1358432.164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10320.0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26500.0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121000.0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v>112000.0</v>
      </c>
      <c r="D11" s="184" t="s">
        <v>112</v>
      </c>
      <c r="E11" s="185" t="s">
        <v>19</v>
      </c>
      <c r="F11" s="18" t="s">
        <v>7</v>
      </c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29850.0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216000.0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18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82"/>
      <c r="C15" s="183">
        <v>147000.0</v>
      </c>
      <c r="D15" s="184" t="s">
        <v>112</v>
      </c>
      <c r="E15" s="185" t="s">
        <v>19</v>
      </c>
      <c r="F15" s="18" t="s">
        <v>7</v>
      </c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182"/>
      <c r="C16" s="183">
        <v>37000.0</v>
      </c>
      <c r="D16" s="184" t="s">
        <v>425</v>
      </c>
      <c r="E16" s="185" t="s">
        <v>22</v>
      </c>
      <c r="F16" s="18" t="s">
        <v>7</v>
      </c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8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8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1034633.164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>
        <v>3958.0</v>
      </c>
      <c r="D5" s="174" t="s">
        <v>424</v>
      </c>
      <c r="E5" s="175" t="s">
        <v>26</v>
      </c>
      <c r="F5" s="18" t="s">
        <v>7</v>
      </c>
      <c r="G5" s="18"/>
      <c r="H5" s="20"/>
      <c r="I5" s="172"/>
      <c r="J5" s="173">
        <f>SUMIF(F:F,"Pagado",C:C)</f>
        <v>1034633.164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8340.0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41316.0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70000.0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21380.0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230877.0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1023399.164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1023399.164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10880.0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36500.0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70000.0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21380.0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225877.0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947372.1645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947372.1645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11280.0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30073.0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/>
      <c r="D10" s="184" t="s">
        <v>112</v>
      </c>
      <c r="E10" s="185" t="s">
        <v>19</v>
      </c>
      <c r="F10" s="202"/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21380.0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225877.0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939504.1645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939504.1645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7640.0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16507.0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f>130000*2/3</f>
        <v>86666.66667</v>
      </c>
      <c r="D10" s="184" t="s">
        <v>112</v>
      </c>
      <c r="E10" s="185" t="s">
        <v>19</v>
      </c>
      <c r="F10" s="202"/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f>110000*2/3</f>
        <v>73333.33333</v>
      </c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20718.0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235877.0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917328.1645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917328.1645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10770.0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/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15695.0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f>130000*2/3</f>
        <v>86666.66667</v>
      </c>
      <c r="D10" s="184" t="s">
        <v>112</v>
      </c>
      <c r="E10" s="185" t="s">
        <v>19</v>
      </c>
      <c r="F10" s="202"/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f>110000*2/3</f>
        <v>73333.33333</v>
      </c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20718.0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218783.0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1002729.831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1002729.831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6500.0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15300.0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f>130000*2/3</f>
        <v>86666.66667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f>110000*2/3</f>
        <v>73333.33333</v>
      </c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20718.0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214783.0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1075105.164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1075105.164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5980.0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21446.0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f>130000*2/3</f>
        <v>86666.66667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f>110000*2/3</f>
        <v>73333.33333</v>
      </c>
      <c r="D11" s="184" t="s">
        <v>112</v>
      </c>
      <c r="E11" s="185" t="s">
        <v>19</v>
      </c>
      <c r="F11" s="18" t="s">
        <v>7</v>
      </c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20718.0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208199.0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1036731.164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1036731.164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4890.0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7400.0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13890.0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130000.0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19990.0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209199.0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1073078.164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1073078.164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2380.0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15117.0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200000.0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19990.0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177929.0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1011411.164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1011411.164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2380.0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7308.0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140000.0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19990.0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184071.0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1024717.164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/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1024717.164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4670.0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8324.0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140000.0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/>
      <c r="D11" s="184" t="s">
        <v>112</v>
      </c>
      <c r="E11" s="185" t="s">
        <v>19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19990.0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194071.0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/>
      <c r="E21" s="185"/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/>
      <c r="E22" s="185"/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/>
      <c r="E23" s="185"/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909870.1645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>
        <v>1887.0</v>
      </c>
      <c r="D5" s="174" t="s">
        <v>424</v>
      </c>
      <c r="E5" s="175" t="s">
        <v>26</v>
      </c>
      <c r="F5" s="18" t="s">
        <v>7</v>
      </c>
      <c r="G5" s="18"/>
      <c r="H5" s="20"/>
      <c r="I5" s="172"/>
      <c r="J5" s="173">
        <f>SUMIF(F:F,"Pagado",C:C)</f>
        <v>909870.1645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5020.0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8000.0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15000.0</v>
      </c>
      <c r="D10" s="184" t="s">
        <v>112</v>
      </c>
      <c r="E10" s="185" t="s">
        <v>19</v>
      </c>
      <c r="F10" s="202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v>17600.0</v>
      </c>
      <c r="D11" s="184" t="s">
        <v>112</v>
      </c>
      <c r="E11" s="185" t="s">
        <v>19</v>
      </c>
      <c r="F11" s="18" t="s">
        <v>7</v>
      </c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19990.0</v>
      </c>
      <c r="D12" s="184" t="s">
        <v>23</v>
      </c>
      <c r="E12" s="185" t="s">
        <v>23</v>
      </c>
      <c r="F12" s="18" t="s">
        <v>7</v>
      </c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82"/>
      <c r="C13" s="183">
        <v>184711.0</v>
      </c>
      <c r="D13" s="184" t="s">
        <v>21</v>
      </c>
      <c r="E13" s="185" t="s">
        <v>21</v>
      </c>
      <c r="F13" s="18" t="s">
        <v>7</v>
      </c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212"/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/>
      <c r="D15" s="184"/>
      <c r="E15" s="185"/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/>
      <c r="E16" s="185"/>
      <c r="F16" s="18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/>
      <c r="D17" s="184"/>
      <c r="E17" s="185"/>
      <c r="F17" s="18"/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72"/>
      <c r="C18" s="183"/>
      <c r="D18" s="184"/>
      <c r="E18" s="185"/>
      <c r="F18" s="18"/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172"/>
      <c r="C19" s="183"/>
      <c r="D19" s="184"/>
      <c r="E19" s="185"/>
      <c r="F19" s="18"/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/>
      <c r="D20" s="184"/>
      <c r="E20" s="185"/>
      <c r="F20" s="18"/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 t="s">
        <v>427</v>
      </c>
      <c r="E21" s="185" t="s">
        <v>19</v>
      </c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/>
      <c r="D22" s="184" t="s">
        <v>428</v>
      </c>
      <c r="E22" s="185" t="s">
        <v>19</v>
      </c>
      <c r="F22" s="18"/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4.25"/>
    <col customWidth="1" min="8" max="8" width="10.25"/>
    <col customWidth="1" min="11" max="11" width="13.25"/>
    <col customWidth="1" min="12" max="12" width="21.0"/>
    <col customWidth="1" min="13" max="18" width="12.5"/>
  </cols>
  <sheetData>
    <row r="1" ht="33.0" customHeight="1">
      <c r="A1" s="154"/>
      <c r="B1" s="155" t="s">
        <v>416</v>
      </c>
      <c r="M1" s="154"/>
      <c r="N1" s="154"/>
      <c r="O1" s="154"/>
      <c r="P1" s="154"/>
      <c r="Q1" s="154"/>
      <c r="R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6"/>
      <c r="I2" s="157" t="s">
        <v>2</v>
      </c>
      <c r="J2" s="158"/>
      <c r="K2" s="156"/>
      <c r="L2" s="156"/>
      <c r="M2" s="156"/>
      <c r="P2" s="159"/>
      <c r="Q2" s="159"/>
      <c r="R2" s="159"/>
    </row>
    <row r="3" ht="12.0" customHeight="1">
      <c r="A3" s="27"/>
      <c r="B3" s="160"/>
      <c r="C3" s="161"/>
      <c r="D3" s="160"/>
      <c r="E3" s="160"/>
      <c r="F3" s="27"/>
      <c r="G3" s="27"/>
      <c r="H3" s="27"/>
      <c r="I3" s="160"/>
      <c r="J3" s="161"/>
      <c r="K3" s="160"/>
      <c r="L3" s="160"/>
      <c r="M3" s="27"/>
      <c r="N3" s="162" t="s">
        <v>417</v>
      </c>
      <c r="O3" s="163">
        <f>SUMIF(F:F,"Pagado",C:C)</f>
        <v>1095476.498</v>
      </c>
      <c r="P3" s="164"/>
      <c r="Q3" s="165"/>
      <c r="R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166"/>
      <c r="H4" s="20"/>
      <c r="I4" s="166" t="s">
        <v>418</v>
      </c>
      <c r="J4" s="167" t="s">
        <v>419</v>
      </c>
      <c r="K4" s="166" t="s">
        <v>420</v>
      </c>
      <c r="L4" s="166" t="s">
        <v>421</v>
      </c>
      <c r="M4" s="168"/>
      <c r="N4" s="73" t="s">
        <v>17</v>
      </c>
      <c r="O4" s="169">
        <f>SUMIF(F5:F34,"Por pagar",C5:C34)</f>
        <v>0</v>
      </c>
      <c r="P4" s="170"/>
      <c r="Q4" s="170"/>
      <c r="R4" s="171"/>
    </row>
    <row r="5" ht="19.5" customHeight="1">
      <c r="A5" s="18"/>
      <c r="B5" s="172"/>
      <c r="C5" s="173">
        <v>0.0</v>
      </c>
      <c r="D5" s="174" t="s">
        <v>424</v>
      </c>
      <c r="E5" s="175" t="s">
        <v>26</v>
      </c>
      <c r="F5" s="18"/>
      <c r="G5" s="18"/>
      <c r="H5" s="20"/>
      <c r="I5" s="172"/>
      <c r="J5" s="173">
        <f>SUMIF(F:F,"Pagado",C:C)</f>
        <v>1095476.498</v>
      </c>
      <c r="K5" s="176" t="s">
        <v>16</v>
      </c>
      <c r="L5" s="175" t="s">
        <v>16</v>
      </c>
      <c r="M5" s="18"/>
      <c r="N5" s="177"/>
      <c r="O5" s="178"/>
      <c r="P5" s="179"/>
      <c r="Q5" s="180"/>
      <c r="R5" s="181">
        <f>Q5-P6</f>
        <v>0</v>
      </c>
    </row>
    <row r="6" ht="19.5" customHeight="1">
      <c r="A6" s="18"/>
      <c r="B6" s="172"/>
      <c r="C6" s="183">
        <v>6320.0</v>
      </c>
      <c r="D6" s="184" t="s">
        <v>25</v>
      </c>
      <c r="E6" s="185" t="s">
        <v>25</v>
      </c>
      <c r="F6" s="18" t="s">
        <v>7</v>
      </c>
      <c r="G6" s="18"/>
      <c r="H6" s="18"/>
      <c r="I6" s="172"/>
      <c r="J6" s="173"/>
      <c r="K6" s="186"/>
      <c r="L6" s="185"/>
      <c r="M6" s="18"/>
      <c r="N6" s="177"/>
      <c r="O6" s="187"/>
      <c r="P6" s="188"/>
      <c r="Q6" s="189"/>
      <c r="R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8"/>
      <c r="I7" s="172"/>
      <c r="J7" s="173"/>
      <c r="K7" s="186"/>
      <c r="L7" s="185"/>
      <c r="M7" s="18"/>
      <c r="N7" s="177"/>
      <c r="O7" s="177"/>
      <c r="P7" s="165"/>
      <c r="Q7" s="177"/>
      <c r="R7" s="177"/>
    </row>
    <row r="8" ht="19.5" customHeight="1">
      <c r="A8" s="18"/>
      <c r="B8" s="172"/>
      <c r="C8" s="183">
        <v>9602.0</v>
      </c>
      <c r="D8" s="184" t="s">
        <v>24</v>
      </c>
      <c r="E8" s="185" t="s">
        <v>24</v>
      </c>
      <c r="F8" s="18" t="s">
        <v>7</v>
      </c>
      <c r="G8" s="18"/>
      <c r="H8" s="18"/>
      <c r="I8" s="172"/>
      <c r="J8" s="173"/>
      <c r="K8" s="186"/>
      <c r="L8" s="185"/>
      <c r="M8" s="20"/>
      <c r="N8" s="171"/>
      <c r="O8" s="171"/>
      <c r="P8" s="171"/>
      <c r="Q8" s="171"/>
      <c r="R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8"/>
      <c r="I9" s="172"/>
      <c r="J9" s="173"/>
      <c r="K9" s="186"/>
      <c r="L9" s="185"/>
      <c r="M9" s="20"/>
      <c r="N9" s="171"/>
      <c r="O9" s="171"/>
      <c r="P9" s="171"/>
      <c r="Q9" s="171"/>
      <c r="R9" s="171"/>
    </row>
    <row r="10" ht="19.5" customHeight="1">
      <c r="A10" s="18"/>
      <c r="B10" s="172"/>
      <c r="C10" s="183">
        <v>27990.0</v>
      </c>
      <c r="D10" s="184" t="s">
        <v>23</v>
      </c>
      <c r="E10" s="185" t="s">
        <v>23</v>
      </c>
      <c r="F10" s="18" t="s">
        <v>7</v>
      </c>
      <c r="G10" s="18"/>
      <c r="H10" s="18"/>
      <c r="I10" s="172"/>
      <c r="J10" s="173"/>
      <c r="K10" s="186"/>
      <c r="L10" s="185"/>
      <c r="M10" s="20"/>
      <c r="N10" s="190"/>
      <c r="O10" s="191"/>
      <c r="P10" s="190"/>
      <c r="Q10" s="171"/>
      <c r="R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/>
      <c r="G11" s="18"/>
      <c r="H11" s="18"/>
      <c r="I11" s="172"/>
      <c r="J11" s="173"/>
      <c r="K11" s="193"/>
      <c r="L11" s="194"/>
      <c r="M11" s="20"/>
      <c r="N11" s="195"/>
      <c r="O11" s="196"/>
      <c r="P11" s="197"/>
      <c r="Q11" s="171"/>
      <c r="R11" s="171"/>
    </row>
    <row r="12" ht="19.5" customHeight="1">
      <c r="A12" s="18"/>
      <c r="B12" s="172"/>
      <c r="C12" s="183">
        <v>30000.0</v>
      </c>
      <c r="D12" s="184" t="s">
        <v>22</v>
      </c>
      <c r="E12" s="185" t="s">
        <v>22</v>
      </c>
      <c r="F12" s="18"/>
      <c r="G12" s="18"/>
      <c r="H12" s="18"/>
      <c r="I12" s="172"/>
      <c r="J12" s="173"/>
      <c r="K12" s="193"/>
      <c r="L12" s="194"/>
      <c r="M12" s="20"/>
      <c r="N12" s="198"/>
      <c r="O12" s="199"/>
      <c r="P12" s="200"/>
      <c r="Q12" s="171"/>
      <c r="R12" s="171"/>
    </row>
    <row r="13" ht="19.5" customHeight="1">
      <c r="A13" s="18"/>
      <c r="B13" s="172"/>
      <c r="C13" s="183">
        <v>30000.0</v>
      </c>
      <c r="D13" s="184" t="s">
        <v>425</v>
      </c>
      <c r="E13" s="185" t="s">
        <v>22</v>
      </c>
      <c r="F13" s="18"/>
      <c r="G13" s="18"/>
      <c r="H13" s="18"/>
      <c r="I13" s="172"/>
      <c r="J13" s="173"/>
      <c r="K13" s="193"/>
      <c r="L13" s="194"/>
      <c r="M13" s="20"/>
      <c r="N13" s="198"/>
      <c r="O13" s="201"/>
      <c r="P13" s="200"/>
      <c r="Q13" s="171"/>
      <c r="R13" s="171"/>
    </row>
    <row r="14" ht="19.5" customHeight="1">
      <c r="A14" s="18"/>
      <c r="B14" s="172"/>
      <c r="C14" s="183">
        <v>30000.0</v>
      </c>
      <c r="D14" s="184" t="s">
        <v>22</v>
      </c>
      <c r="E14" s="185" t="s">
        <v>22</v>
      </c>
      <c r="F14" s="18"/>
      <c r="G14" s="18"/>
      <c r="H14" s="18"/>
      <c r="I14" s="172"/>
      <c r="J14" s="173"/>
      <c r="K14" s="193"/>
      <c r="L14" s="194"/>
      <c r="M14" s="20"/>
      <c r="N14" s="198"/>
      <c r="O14" s="201"/>
      <c r="P14" s="200"/>
      <c r="Q14" s="20"/>
      <c r="R14" s="20"/>
    </row>
    <row r="15" ht="19.5" customHeight="1">
      <c r="A15" s="18"/>
      <c r="B15" s="172"/>
      <c r="C15" s="183">
        <v>30000.0</v>
      </c>
      <c r="D15" s="184" t="s">
        <v>425</v>
      </c>
      <c r="E15" s="185" t="s">
        <v>22</v>
      </c>
      <c r="F15" s="18"/>
      <c r="G15" s="18"/>
      <c r="H15" s="18"/>
      <c r="I15" s="172"/>
      <c r="J15" s="173"/>
      <c r="K15" s="193"/>
      <c r="L15" s="194"/>
      <c r="M15" s="20"/>
      <c r="N15" s="198"/>
      <c r="O15" s="201"/>
      <c r="P15" s="200"/>
      <c r="Q15" s="20"/>
      <c r="R15" s="20"/>
    </row>
    <row r="16" ht="19.5" customHeight="1">
      <c r="A16" s="18"/>
      <c r="B16" s="213"/>
      <c r="C16" s="183"/>
      <c r="D16" s="184" t="s">
        <v>112</v>
      </c>
      <c r="E16" s="185" t="s">
        <v>19</v>
      </c>
      <c r="F16" s="202"/>
      <c r="G16" s="202"/>
      <c r="H16" s="18"/>
      <c r="I16" s="172"/>
      <c r="J16" s="173"/>
      <c r="K16" s="193"/>
      <c r="L16" s="194"/>
      <c r="M16" s="20"/>
      <c r="N16" s="198"/>
      <c r="O16" s="201"/>
      <c r="P16" s="200"/>
      <c r="Q16" s="20"/>
      <c r="R16" s="20"/>
    </row>
    <row r="17" ht="19.5" customHeight="1">
      <c r="A17" s="18"/>
      <c r="B17" s="172"/>
      <c r="C17" s="183">
        <f>175537/3</f>
        <v>58512.33333</v>
      </c>
      <c r="D17" s="184" t="s">
        <v>429</v>
      </c>
      <c r="E17" s="185" t="s">
        <v>430</v>
      </c>
      <c r="F17" s="18" t="s">
        <v>7</v>
      </c>
      <c r="G17" s="18"/>
      <c r="H17" s="18"/>
      <c r="I17" s="172"/>
      <c r="J17" s="173"/>
      <c r="K17" s="186"/>
      <c r="L17" s="185"/>
      <c r="M17" s="20"/>
      <c r="N17" s="198"/>
      <c r="O17" s="201"/>
      <c r="P17" s="200"/>
      <c r="Q17" s="20"/>
      <c r="R17" s="20"/>
    </row>
    <row r="18" ht="19.5" customHeight="1">
      <c r="A18" s="18"/>
      <c r="B18" s="182"/>
      <c r="C18" s="183">
        <v>197555.0</v>
      </c>
      <c r="D18" s="184" t="s">
        <v>21</v>
      </c>
      <c r="E18" s="185" t="s">
        <v>21</v>
      </c>
      <c r="F18" s="18" t="s">
        <v>7</v>
      </c>
      <c r="G18" s="18"/>
      <c r="H18" s="18"/>
      <c r="I18" s="172"/>
      <c r="J18" s="173"/>
      <c r="K18" s="193"/>
      <c r="L18" s="194"/>
      <c r="M18" s="20"/>
      <c r="N18" s="198"/>
      <c r="O18" s="201"/>
      <c r="P18" s="203"/>
      <c r="Q18" s="20"/>
      <c r="R18" s="20"/>
    </row>
    <row r="19" ht="19.5" customHeight="1">
      <c r="A19" s="20"/>
      <c r="B19" s="212"/>
      <c r="C19" s="183">
        <f>IFERROR(__xludf.DUMMYFUNCTION("15.6926*GOOGLEFINANCE((""CURRENCY:CLFCLP""))"),640662.16445)</f>
        <v>640662.1645</v>
      </c>
      <c r="D19" s="184" t="s">
        <v>20</v>
      </c>
      <c r="E19" s="185" t="s">
        <v>20</v>
      </c>
      <c r="F19" s="18" t="s">
        <v>7</v>
      </c>
      <c r="G19" s="18"/>
      <c r="H19" s="18"/>
      <c r="I19" s="172"/>
      <c r="J19" s="173"/>
      <c r="K19" s="193"/>
      <c r="L19" s="194"/>
      <c r="M19" s="20"/>
      <c r="N19" s="20"/>
      <c r="O19" s="20"/>
      <c r="P19" s="20"/>
      <c r="Q19" s="20"/>
      <c r="R19" s="20"/>
    </row>
    <row r="20" ht="19.5" customHeight="1">
      <c r="A20" s="18"/>
      <c r="B20" s="172"/>
      <c r="C20" s="183">
        <v>60000.0</v>
      </c>
      <c r="D20" s="184" t="s">
        <v>427</v>
      </c>
      <c r="E20" s="185" t="s">
        <v>19</v>
      </c>
      <c r="F20" s="18" t="s">
        <v>7</v>
      </c>
      <c r="G20" s="18"/>
      <c r="H20" s="18"/>
      <c r="I20" s="172"/>
      <c r="J20" s="173"/>
      <c r="K20" s="193"/>
      <c r="L20" s="194"/>
      <c r="M20" s="20"/>
      <c r="N20" s="20"/>
      <c r="O20" s="20"/>
      <c r="P20" s="20"/>
      <c r="Q20" s="20"/>
      <c r="R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8"/>
      <c r="I21" s="172"/>
      <c r="J21" s="173"/>
      <c r="K21" s="193"/>
      <c r="L21" s="194"/>
      <c r="M21" s="20"/>
      <c r="N21" s="20"/>
      <c r="P21" s="20"/>
      <c r="Q21" s="20"/>
      <c r="R21" s="20"/>
    </row>
    <row r="22" ht="19.5" customHeight="1">
      <c r="A22" s="18"/>
      <c r="B22" s="172"/>
      <c r="C22" s="183">
        <v>36000.0</v>
      </c>
      <c r="D22" s="184" t="s">
        <v>112</v>
      </c>
      <c r="E22" s="185" t="s">
        <v>19</v>
      </c>
      <c r="F22" s="18" t="s">
        <v>7</v>
      </c>
      <c r="G22" s="18"/>
      <c r="H22" s="18"/>
      <c r="I22" s="172"/>
      <c r="J22" s="173"/>
      <c r="K22" s="193"/>
      <c r="L22" s="194"/>
      <c r="M22" s="20"/>
      <c r="N22" s="20"/>
      <c r="P22" s="20"/>
      <c r="Q22" s="20"/>
      <c r="R22" s="20"/>
    </row>
    <row r="23" ht="19.5" customHeight="1">
      <c r="A23" s="18"/>
      <c r="B23" s="172"/>
      <c r="C23" s="183">
        <v>41835.0</v>
      </c>
      <c r="D23" s="184" t="s">
        <v>112</v>
      </c>
      <c r="E23" s="185" t="s">
        <v>19</v>
      </c>
      <c r="F23" s="18" t="s">
        <v>7</v>
      </c>
      <c r="G23" s="18"/>
      <c r="H23" s="18"/>
      <c r="I23" s="172"/>
      <c r="J23" s="173"/>
      <c r="K23" s="193"/>
      <c r="L23" s="194"/>
      <c r="M23" s="20"/>
      <c r="N23" s="18"/>
      <c r="O23" s="20"/>
      <c r="P23" s="20"/>
      <c r="Q23" s="20"/>
      <c r="R23" s="20"/>
    </row>
    <row r="24" ht="19.5" customHeight="1">
      <c r="A24" s="18"/>
      <c r="B24" s="172"/>
      <c r="C24" s="183"/>
      <c r="D24" s="204"/>
      <c r="E24" s="185"/>
      <c r="F24" s="18"/>
      <c r="G24" s="18"/>
      <c r="H24" s="18"/>
      <c r="I24" s="172"/>
      <c r="J24" s="173"/>
      <c r="K24" s="193"/>
      <c r="L24" s="194"/>
      <c r="M24" s="20"/>
      <c r="N24" s="18"/>
      <c r="O24" s="20"/>
      <c r="P24" s="20"/>
      <c r="Q24" s="20"/>
      <c r="R24" s="20"/>
    </row>
    <row r="25" ht="19.5" customHeight="1">
      <c r="A25" s="18"/>
      <c r="B25" s="172"/>
      <c r="C25" s="183"/>
      <c r="D25" s="184"/>
      <c r="E25" s="185"/>
      <c r="F25" s="18"/>
      <c r="G25" s="18"/>
      <c r="H25" s="18"/>
      <c r="I25" s="172"/>
      <c r="J25" s="173"/>
      <c r="K25" s="193"/>
      <c r="L25" s="194"/>
      <c r="M25" s="20"/>
      <c r="N25" s="20"/>
      <c r="O25" s="20"/>
      <c r="P25" s="20"/>
      <c r="Q25" s="20"/>
      <c r="R25" s="20"/>
    </row>
    <row r="26" ht="19.5" customHeight="1">
      <c r="A26" s="18"/>
      <c r="B26" s="172"/>
      <c r="C26" s="183"/>
      <c r="D26" s="184"/>
      <c r="E26" s="185"/>
      <c r="F26" s="18"/>
      <c r="G26" s="18"/>
      <c r="H26" s="18"/>
      <c r="I26" s="172"/>
      <c r="J26" s="173"/>
      <c r="K26" s="193"/>
      <c r="L26" s="194"/>
      <c r="M26" s="20"/>
      <c r="N26" s="20"/>
      <c r="R26" s="20"/>
    </row>
    <row r="27" ht="19.5" customHeight="1">
      <c r="A27" s="20"/>
      <c r="B27" s="172"/>
      <c r="C27" s="183"/>
      <c r="D27" s="184"/>
      <c r="E27" s="185"/>
      <c r="F27" s="18"/>
      <c r="G27" s="18"/>
      <c r="H27" s="18"/>
      <c r="I27" s="205"/>
      <c r="J27" s="173"/>
      <c r="K27" s="193"/>
      <c r="L27" s="194"/>
      <c r="M27" s="20"/>
      <c r="N27" s="20"/>
      <c r="R27" s="20"/>
    </row>
    <row r="28" ht="19.5" customHeight="1">
      <c r="A28" s="20"/>
      <c r="B28" s="172"/>
      <c r="C28" s="183"/>
      <c r="D28" s="184"/>
      <c r="E28" s="185"/>
      <c r="F28" s="18"/>
      <c r="G28" s="18"/>
      <c r="H28" s="18"/>
      <c r="I28" s="205"/>
      <c r="J28" s="173"/>
      <c r="K28" s="193"/>
      <c r="L28" s="194"/>
      <c r="M28" s="20"/>
      <c r="N28" s="20"/>
      <c r="R28" s="20"/>
    </row>
    <row r="29" ht="19.5" customHeight="1">
      <c r="A29" s="20"/>
      <c r="B29" s="172"/>
      <c r="C29" s="183"/>
      <c r="D29" s="184"/>
      <c r="E29" s="185"/>
      <c r="F29" s="18"/>
      <c r="G29" s="18"/>
      <c r="H29" s="18"/>
      <c r="I29" s="205"/>
      <c r="J29" s="173"/>
      <c r="K29" s="193"/>
      <c r="L29" s="194"/>
      <c r="M29" s="20"/>
      <c r="N29" s="20"/>
      <c r="R29" s="20"/>
    </row>
    <row r="30" ht="19.5" customHeight="1">
      <c r="A30" s="20"/>
      <c r="B30" s="172"/>
      <c r="C30" s="183"/>
      <c r="D30" s="184"/>
      <c r="E30" s="185"/>
      <c r="F30" s="18"/>
      <c r="G30" s="18"/>
      <c r="H30" s="18"/>
      <c r="I30" s="205"/>
      <c r="J30" s="173"/>
      <c r="K30" s="193"/>
      <c r="L30" s="194"/>
      <c r="M30" s="20"/>
      <c r="N30" s="20"/>
      <c r="R30" s="20"/>
    </row>
    <row r="31" ht="19.5" customHeight="1">
      <c r="A31" s="20"/>
      <c r="B31" s="172"/>
      <c r="C31" s="183"/>
      <c r="D31" s="206"/>
      <c r="E31" s="194"/>
      <c r="F31" s="20"/>
      <c r="G31" s="20"/>
      <c r="H31" s="20"/>
      <c r="I31" s="205"/>
      <c r="J31" s="173"/>
      <c r="K31" s="193"/>
      <c r="L31" s="194"/>
      <c r="M31" s="20"/>
      <c r="N31" s="20"/>
      <c r="R31" s="20"/>
    </row>
    <row r="32" ht="19.5" customHeight="1">
      <c r="A32" s="20"/>
      <c r="B32" s="172"/>
      <c r="C32" s="183"/>
      <c r="D32" s="206"/>
      <c r="E32" s="194"/>
      <c r="F32" s="20"/>
      <c r="G32" s="20"/>
      <c r="H32" s="20"/>
      <c r="I32" s="205"/>
      <c r="J32" s="173"/>
      <c r="K32" s="193"/>
      <c r="L32" s="194"/>
      <c r="M32" s="20"/>
      <c r="N32" s="20"/>
      <c r="R32" s="20"/>
    </row>
    <row r="33" ht="19.5" customHeight="1">
      <c r="A33" s="20"/>
      <c r="B33" s="172"/>
      <c r="C33" s="183"/>
      <c r="D33" s="206"/>
      <c r="E33" s="194"/>
      <c r="F33" s="20"/>
      <c r="G33" s="20"/>
      <c r="H33" s="20"/>
      <c r="I33" s="205"/>
      <c r="J33" s="173"/>
      <c r="K33" s="193"/>
      <c r="L33" s="194"/>
      <c r="M33" s="20"/>
      <c r="N33" s="20"/>
      <c r="R33" s="20"/>
    </row>
    <row r="34" ht="19.5" customHeight="1">
      <c r="A34" s="20"/>
      <c r="B34" s="172"/>
      <c r="C34" s="207"/>
      <c r="D34" s="208"/>
      <c r="E34" s="209"/>
      <c r="F34" s="20"/>
      <c r="G34" s="20"/>
      <c r="H34" s="20"/>
      <c r="I34" s="210"/>
      <c r="J34" s="173"/>
      <c r="K34" s="211"/>
      <c r="L34" s="209"/>
      <c r="M34" s="20"/>
      <c r="N34" s="20"/>
      <c r="R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L1"/>
  </mergeCells>
  <dataValidations>
    <dataValidation type="list" allowBlank="1" showErrorMessage="1" sqref="F5:G34">
      <formula1>"Por pagar,Pagado"</formula1>
    </dataValidation>
    <dataValidation type="list" allowBlank="1" sqref="L5:L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1122510.498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0.0</v>
      </c>
      <c r="D5" s="174" t="s">
        <v>424</v>
      </c>
      <c r="E5" s="175" t="s">
        <v>26</v>
      </c>
      <c r="F5" s="18"/>
      <c r="G5" s="20"/>
      <c r="H5" s="172"/>
      <c r="I5" s="173">
        <f>SUMIF(F:F,"Pagado",C:C)</f>
        <v>1122510.498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214">
        <v>3910.0</v>
      </c>
      <c r="D6" s="184" t="s">
        <v>25</v>
      </c>
      <c r="E6" s="185" t="s">
        <v>25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9867.0</v>
      </c>
      <c r="D8" s="184" t="s">
        <v>24</v>
      </c>
      <c r="E8" s="185" t="s">
        <v>24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10700.0</v>
      </c>
      <c r="D9" s="184" t="s">
        <v>18</v>
      </c>
      <c r="E9" s="185" t="s">
        <v>18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27990.0</v>
      </c>
      <c r="D10" s="184" t="s">
        <v>23</v>
      </c>
      <c r="E10" s="185" t="s">
        <v>23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30000.0</v>
      </c>
      <c r="D12" s="184" t="s">
        <v>22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30000.0</v>
      </c>
      <c r="D13" s="184" t="s">
        <v>425</v>
      </c>
      <c r="E13" s="185" t="s">
        <v>22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30000.0</v>
      </c>
      <c r="D14" s="184" t="s">
        <v>22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30000.0</v>
      </c>
      <c r="D15" s="184" t="s">
        <v>425</v>
      </c>
      <c r="E15" s="185" t="s">
        <v>22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>
        <v>42000.0</v>
      </c>
      <c r="D16" s="184" t="s">
        <v>112</v>
      </c>
      <c r="E16" s="185" t="s">
        <v>19</v>
      </c>
      <c r="F16" s="202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f>175537/3</f>
        <v>58512.33333</v>
      </c>
      <c r="D17" s="184" t="s">
        <v>429</v>
      </c>
      <c r="E17" s="185" t="s">
        <v>430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172569.0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212"/>
      <c r="C19" s="183">
        <f>IFERROR(__xludf.DUMMYFUNCTION("15.6926*GOOGLEFINANCE((""CURRENCY:CLFCLP""))"),640662.16445)</f>
        <v>640662.1645</v>
      </c>
      <c r="D19" s="184" t="s">
        <v>20</v>
      </c>
      <c r="E19" s="185" t="s">
        <v>20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427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1208033.498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/>
      <c r="G5" s="20"/>
      <c r="H5" s="172"/>
      <c r="I5" s="173">
        <f>SUMIF(F:F,"Pagado",C:C)</f>
        <v>1208033.498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27990.0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30000.0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30000.0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30000.0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30000.0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f>175537/3</f>
        <v>58512.33333</v>
      </c>
      <c r="D13" s="184" t="s">
        <v>429</v>
      </c>
      <c r="E13" s="185" t="s">
        <v>430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82"/>
      <c r="C14" s="183">
        <v>189369.0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212"/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>
        <v>107000.0</v>
      </c>
      <c r="D16" s="184" t="s">
        <v>427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11091.0</v>
      </c>
      <c r="D17" s="184" t="s">
        <v>24</v>
      </c>
      <c r="E17" s="185" t="s">
        <v>24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214">
        <v>2709.0</v>
      </c>
      <c r="D19" s="184" t="s">
        <v>25</v>
      </c>
      <c r="E19" s="185" t="s">
        <v>25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10000.0</v>
      </c>
      <c r="D20" s="184" t="s">
        <v>112</v>
      </c>
      <c r="E20" s="185" t="s">
        <v>19</v>
      </c>
      <c r="F20" s="202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1213097.498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1213097.498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27990.0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30000.0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30000.0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30000.0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30000.0</v>
      </c>
      <c r="D12" s="184"/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f>175537/3</f>
        <v>58512.33333</v>
      </c>
      <c r="D13" s="184" t="s">
        <v>429</v>
      </c>
      <c r="E13" s="185" t="s">
        <v>430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82"/>
      <c r="C14" s="183">
        <v>178421.0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212"/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>
        <v>85000.0</v>
      </c>
      <c r="D16" s="184" t="s">
        <v>427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9672.0</v>
      </c>
      <c r="D17" s="184" t="s">
        <v>24</v>
      </c>
      <c r="E17" s="185" t="s">
        <v>24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214">
        <v>5840.0</v>
      </c>
      <c r="D19" s="184" t="s">
        <v>25</v>
      </c>
      <c r="E19" s="185" t="s">
        <v>25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112</v>
      </c>
      <c r="E20" s="185" t="s">
        <v>19</v>
      </c>
      <c r="F20" s="202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v>40000.0</v>
      </c>
      <c r="D22" s="184" t="s">
        <v>112</v>
      </c>
      <c r="E22" s="185" t="s">
        <v>19</v>
      </c>
      <c r="F22" s="18" t="s">
        <v>7</v>
      </c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1213097.498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1213097.498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27990.0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30000.0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30000.0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30000.0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30000.0</v>
      </c>
      <c r="D12" s="184"/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f>175537/3</f>
        <v>58512.33333</v>
      </c>
      <c r="D13" s="184" t="s">
        <v>429</v>
      </c>
      <c r="E13" s="185" t="s">
        <v>430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82"/>
      <c r="C14" s="183">
        <v>178421.0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212"/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>
        <v>85000.0</v>
      </c>
      <c r="D16" s="184" t="s">
        <v>427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9672.0</v>
      </c>
      <c r="D17" s="184" t="s">
        <v>24</v>
      </c>
      <c r="E17" s="185" t="s">
        <v>24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214">
        <v>5840.0</v>
      </c>
      <c r="D19" s="184" t="s">
        <v>25</v>
      </c>
      <c r="E19" s="185" t="s">
        <v>25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112</v>
      </c>
      <c r="E20" s="185" t="s">
        <v>19</v>
      </c>
      <c r="F20" s="202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v>40000.0</v>
      </c>
      <c r="D22" s="184" t="s">
        <v>112</v>
      </c>
      <c r="E22" s="185" t="s">
        <v>19</v>
      </c>
      <c r="F22" s="18" t="s">
        <v>7</v>
      </c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1251164.498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1251164.498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27990.0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30000.0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30000.0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30000.0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v>30000.0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30000.0</v>
      </c>
      <c r="D12" s="184"/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f>175537/3</f>
        <v>58512.33333</v>
      </c>
      <c r="D13" s="184" t="s">
        <v>429</v>
      </c>
      <c r="E13" s="185" t="s">
        <v>430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82"/>
      <c r="C14" s="183">
        <v>199000.0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212"/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/>
      <c r="D16" s="184" t="s">
        <v>427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24</v>
      </c>
      <c r="E17" s="185" t="s">
        <v>24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214"/>
      <c r="D19" s="184" t="s">
        <v>25</v>
      </c>
      <c r="E19" s="185" t="s">
        <v>25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158000.0</v>
      </c>
      <c r="D20" s="184" t="s">
        <v>112</v>
      </c>
      <c r="E20" s="185" t="s">
        <v>19</v>
      </c>
      <c r="F20" s="202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F4:F34"/>
      <sortCondition ref="B4:B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1168302.498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44805.0</v>
      </c>
      <c r="C5" s="173">
        <v>30000.0</v>
      </c>
      <c r="D5" s="174" t="s">
        <v>22</v>
      </c>
      <c r="E5" s="175" t="s">
        <v>22</v>
      </c>
      <c r="F5" s="18" t="s">
        <v>7</v>
      </c>
      <c r="G5" s="20"/>
      <c r="H5" s="172"/>
      <c r="I5" s="173">
        <f>SUMIF(F:F,"Pagado",C:C)</f>
        <v>1168302.498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44805.0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44812.0</v>
      </c>
      <c r="C7" s="183">
        <v>30000.0</v>
      </c>
      <c r="D7" s="184" t="s">
        <v>425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44819.0</v>
      </c>
      <c r="C8" s="183">
        <v>30000.0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44826.0</v>
      </c>
      <c r="C9" s="183">
        <v>30000.0</v>
      </c>
      <c r="D9" s="184" t="s">
        <v>425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44826.0</v>
      </c>
      <c r="C10" s="183">
        <v>106000.0</v>
      </c>
      <c r="D10" s="184" t="s">
        <v>427</v>
      </c>
      <c r="E10" s="185" t="s">
        <v>19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92">
        <f>175537/3</f>
        <v>58512.33333</v>
      </c>
      <c r="D11" s="184" t="s">
        <v>429</v>
      </c>
      <c r="E11" s="185" t="s">
        <v>430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27990.0</v>
      </c>
      <c r="D12" s="184" t="s">
        <v>23</v>
      </c>
      <c r="E12" s="185" t="s">
        <v>23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82"/>
      <c r="C13" s="183">
        <v>181886.0</v>
      </c>
      <c r="D13" s="184" t="s">
        <v>21</v>
      </c>
      <c r="E13" s="185" t="s">
        <v>21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11058.0</v>
      </c>
      <c r="D14" s="184" t="s">
        <v>24</v>
      </c>
      <c r="E14" s="185" t="s">
        <v>24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212"/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/>
      <c r="C16" s="183">
        <v>1824.0</v>
      </c>
      <c r="D16" s="184" t="s">
        <v>424</v>
      </c>
      <c r="E16" s="185" t="s">
        <v>26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214">
        <v>3370.0</v>
      </c>
      <c r="D17" s="184" t="s">
        <v>25</v>
      </c>
      <c r="E17" s="185" t="s">
        <v>25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>
        <v>6300.0</v>
      </c>
      <c r="D18" s="184" t="s">
        <v>15</v>
      </c>
      <c r="E18" s="185" t="s">
        <v>15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112</v>
      </c>
      <c r="E19" s="185" t="s">
        <v>19</v>
      </c>
      <c r="F19" s="202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30000.0</v>
      </c>
      <c r="D20" s="184" t="s">
        <v>22</v>
      </c>
      <c r="E20" s="185" t="s">
        <v>22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1133231.498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44774.0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1133231.498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44774.0</v>
      </c>
      <c r="C6" s="183">
        <f>175537/3</f>
        <v>58512.33333</v>
      </c>
      <c r="D6" s="184" t="s">
        <v>429</v>
      </c>
      <c r="E6" s="185" t="s">
        <v>430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44778.0</v>
      </c>
      <c r="C7" s="183">
        <v>25000.0</v>
      </c>
      <c r="D7" s="184" t="s">
        <v>425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44785.0</v>
      </c>
      <c r="C8" s="183">
        <v>25000.0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44785.0</v>
      </c>
      <c r="C9" s="183">
        <v>85000.0</v>
      </c>
      <c r="D9" s="184" t="s">
        <v>112</v>
      </c>
      <c r="E9" s="185" t="s">
        <v>19</v>
      </c>
      <c r="F9" s="202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44788.0</v>
      </c>
      <c r="C10" s="214">
        <v>2210.0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44788.0</v>
      </c>
      <c r="C11" s="192">
        <v>27990.0</v>
      </c>
      <c r="D11" s="184" t="s">
        <v>23</v>
      </c>
      <c r="E11" s="185" t="s">
        <v>23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44791.0</v>
      </c>
      <c r="C12" s="183">
        <v>25000.0</v>
      </c>
      <c r="D12" s="184" t="s">
        <v>22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44798.0</v>
      </c>
      <c r="C13" s="183">
        <v>6300.0</v>
      </c>
      <c r="D13" s="184" t="s">
        <v>15</v>
      </c>
      <c r="E13" s="185" t="s">
        <v>15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44798.0</v>
      </c>
      <c r="C14" s="183">
        <v>25000.0</v>
      </c>
      <c r="D14" s="184" t="s">
        <v>425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82">
        <v>44800.0</v>
      </c>
      <c r="C15" s="183">
        <v>181886.0</v>
      </c>
      <c r="D15" s="184" t="s">
        <v>21</v>
      </c>
      <c r="E15" s="185" t="s">
        <v>21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>
        <v>44798.0</v>
      </c>
      <c r="C16" s="183">
        <v>19971.0</v>
      </c>
      <c r="D16" s="184" t="s">
        <v>24</v>
      </c>
      <c r="E16" s="185" t="s">
        <v>24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22</v>
      </c>
      <c r="E17" s="185" t="s">
        <v>22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212"/>
      <c r="C18" s="183">
        <f>IFERROR(__xludf.DUMMYFUNCTION("15.6926*GOOGLEFINANCE((""CURRENCY:CLFCLP""))"),640662.16445)</f>
        <v>640662.1645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427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428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424</v>
      </c>
      <c r="E21" s="185" t="s">
        <v>26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 t="s">
        <v>112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1180599.498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44743.0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1180599.498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44743.0</v>
      </c>
      <c r="C6" s="183">
        <f>175537/3</f>
        <v>58512.33333</v>
      </c>
      <c r="D6" s="184" t="s">
        <v>429</v>
      </c>
      <c r="E6" s="185" t="s">
        <v>430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44749.0</v>
      </c>
      <c r="C7" s="183">
        <v>25000.0</v>
      </c>
      <c r="D7" s="184" t="s">
        <v>425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44756.0</v>
      </c>
      <c r="C8" s="183">
        <v>25000.0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44758.0</v>
      </c>
      <c r="C9" s="183">
        <v>27990.0</v>
      </c>
      <c r="D9" s="184" t="s">
        <v>23</v>
      </c>
      <c r="E9" s="185" t="s">
        <v>23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44758.0</v>
      </c>
      <c r="C10" s="183">
        <v>19300.0</v>
      </c>
      <c r="D10" s="184" t="s">
        <v>24</v>
      </c>
      <c r="E10" s="185" t="s">
        <v>24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44761.0</v>
      </c>
      <c r="C11" s="192">
        <v>40000.0</v>
      </c>
      <c r="D11" s="184" t="s">
        <v>112</v>
      </c>
      <c r="E11" s="185" t="s">
        <v>19</v>
      </c>
      <c r="F11" s="202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44761.0</v>
      </c>
      <c r="C12" s="214">
        <v>4520.0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44767.0</v>
      </c>
      <c r="C13" s="183">
        <v>100000.0</v>
      </c>
      <c r="D13" s="184" t="s">
        <v>427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212">
        <v>44767.0</v>
      </c>
      <c r="C14" s="183">
        <f>IFERROR(__xludf.DUMMYFUNCTION("15.6926*GOOGLEFINANCE((""CURRENCY:CLFCLP""))"),640662.16445)</f>
        <v>640662.1645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82">
        <v>44767.0</v>
      </c>
      <c r="C15" s="183">
        <v>178915.0</v>
      </c>
      <c r="D15" s="184" t="s">
        <v>21</v>
      </c>
      <c r="E15" s="185" t="s">
        <v>21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3">
        <v>44763.0</v>
      </c>
      <c r="C16" s="183">
        <v>25000.0</v>
      </c>
      <c r="D16" s="184" t="s">
        <v>22</v>
      </c>
      <c r="E16" s="185" t="s">
        <v>22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44770.0</v>
      </c>
      <c r="C17" s="183">
        <v>25000.0</v>
      </c>
      <c r="D17" s="184" t="s">
        <v>425</v>
      </c>
      <c r="E17" s="185" t="s">
        <v>22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>
        <v>6300.0</v>
      </c>
      <c r="D18" s="184" t="s">
        <v>15</v>
      </c>
      <c r="E18" s="185" t="s">
        <v>15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428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424</v>
      </c>
      <c r="E20" s="185" t="s">
        <v>26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112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>
        <v>25000.0</v>
      </c>
      <c r="D23" s="184" t="s">
        <v>22</v>
      </c>
      <c r="E23" s="185" t="s">
        <v>22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1159349.498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44713.0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1159349.498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44713.0</v>
      </c>
      <c r="C6" s="183">
        <f>175537/3</f>
        <v>58512.33333</v>
      </c>
      <c r="D6" s="184" t="s">
        <v>429</v>
      </c>
      <c r="E6" s="185" t="s">
        <v>430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44714.0</v>
      </c>
      <c r="C7" s="183">
        <v>25000.0</v>
      </c>
      <c r="D7" s="184" t="s">
        <v>22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44721.0</v>
      </c>
      <c r="C8" s="183">
        <v>25000.0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44726.0</v>
      </c>
      <c r="C9" s="183">
        <v>27990.0</v>
      </c>
      <c r="D9" s="184" t="s">
        <v>23</v>
      </c>
      <c r="E9" s="185" t="s">
        <v>23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44729.0</v>
      </c>
      <c r="C10" s="183">
        <v>25000.0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44732.0</v>
      </c>
      <c r="C11" s="192">
        <v>12000.0</v>
      </c>
      <c r="D11" s="184" t="s">
        <v>24</v>
      </c>
      <c r="E11" s="185" t="s">
        <v>24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44732.0</v>
      </c>
      <c r="C12" s="183">
        <v>6300.0</v>
      </c>
      <c r="D12" s="184" t="s">
        <v>15</v>
      </c>
      <c r="E12" s="185" t="s">
        <v>15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44733.0</v>
      </c>
      <c r="C13" s="183">
        <v>100000.0</v>
      </c>
      <c r="D13" s="184" t="s">
        <v>427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44735.0</v>
      </c>
      <c r="C14" s="183">
        <v>25000.0</v>
      </c>
      <c r="D14" s="184" t="s">
        <v>425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112</v>
      </c>
      <c r="E15" s="185" t="s">
        <v>19</v>
      </c>
      <c r="F15" s="202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215">
        <v>44741.0</v>
      </c>
      <c r="C16" s="183">
        <f>IFERROR(__xludf.DUMMYFUNCTION("15.6926*GOOGLEFINANCE((""CURRENCY:CLFCLP""))"),640662.16445)</f>
        <v>640662.1645</v>
      </c>
      <c r="D16" s="184" t="s">
        <v>20</v>
      </c>
      <c r="E16" s="185" t="s">
        <v>20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428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214">
        <v>4320.0</v>
      </c>
      <c r="D18" s="184" t="s">
        <v>25</v>
      </c>
      <c r="E18" s="185" t="s">
        <v>25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82">
        <v>44737.0</v>
      </c>
      <c r="C19" s="183">
        <v>173865.0</v>
      </c>
      <c r="D19" s="184" t="s">
        <v>21</v>
      </c>
      <c r="E19" s="185" t="s">
        <v>21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424</v>
      </c>
      <c r="E20" s="185" t="s">
        <v>26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112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>
        <v>25000.0</v>
      </c>
      <c r="D23" s="184" t="s">
        <v>22</v>
      </c>
      <c r="E23" s="185" t="s">
        <v>22</v>
      </c>
      <c r="F23" s="18" t="s">
        <v>7</v>
      </c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1219272.498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44682.0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1219272.498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44683.0</v>
      </c>
      <c r="C6" s="183">
        <v>27990.0</v>
      </c>
      <c r="D6" s="184" t="s">
        <v>23</v>
      </c>
      <c r="E6" s="185" t="s">
        <v>23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44686.0</v>
      </c>
      <c r="C7" s="183">
        <v>25000.0</v>
      </c>
      <c r="D7" s="184" t="s">
        <v>22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44690.0</v>
      </c>
      <c r="C8" s="183">
        <v>95000.0</v>
      </c>
      <c r="D8" s="184" t="s">
        <v>112</v>
      </c>
      <c r="E8" s="185" t="s">
        <v>19</v>
      </c>
      <c r="F8" s="202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44693.0</v>
      </c>
      <c r="C9" s="183">
        <v>25000.0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44700.0</v>
      </c>
      <c r="C10" s="183">
        <v>25000.0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44700.0</v>
      </c>
      <c r="C11" s="192">
        <v>45000.0</v>
      </c>
      <c r="D11" s="184" t="s">
        <v>427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44701.0</v>
      </c>
      <c r="C12" s="183">
        <v>6300.0</v>
      </c>
      <c r="D12" s="184" t="s">
        <v>15</v>
      </c>
      <c r="E12" s="185" t="s">
        <v>15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44701.0</v>
      </c>
      <c r="C13" s="183">
        <v>10563.0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44705.0</v>
      </c>
      <c r="C14" s="183">
        <f>175537/3</f>
        <v>58512.33333</v>
      </c>
      <c r="D14" s="184" t="s">
        <v>429</v>
      </c>
      <c r="E14" s="185" t="s">
        <v>430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44707.0</v>
      </c>
      <c r="C15" s="183">
        <f>IFERROR(__xludf.DUMMYFUNCTION("15.6926*GOOGLEFINANCE((""CURRENCY:CLFCLP""))"),640662.16445)</f>
        <v>640662.1645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428</v>
      </c>
      <c r="E16" s="185" t="s">
        <v>19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44707.0</v>
      </c>
      <c r="C17" s="183">
        <v>25000.0</v>
      </c>
      <c r="D17" s="184" t="s">
        <v>425</v>
      </c>
      <c r="E17" s="185" t="s">
        <v>22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214">
        <v>10070.0</v>
      </c>
      <c r="D18" s="184" t="s">
        <v>25</v>
      </c>
      <c r="E18" s="185" t="s">
        <v>25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82">
        <v>44705.0</v>
      </c>
      <c r="C19" s="183">
        <v>172675.0</v>
      </c>
      <c r="D19" s="184" t="s">
        <v>21</v>
      </c>
      <c r="E19" s="185" t="s">
        <v>21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1800.0</v>
      </c>
      <c r="D20" s="184" t="s">
        <v>424</v>
      </c>
      <c r="E20" s="185" t="s">
        <v>26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40000.0</v>
      </c>
      <c r="D21" s="184" t="s">
        <v>112</v>
      </c>
      <c r="E21" s="185" t="s">
        <v>19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1133849.498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44652.0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1133849.498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44658.0</v>
      </c>
      <c r="C6" s="183">
        <v>25000.0</v>
      </c>
      <c r="D6" s="184" t="s">
        <v>22</v>
      </c>
      <c r="E6" s="185" t="s">
        <v>22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44665.0</v>
      </c>
      <c r="C7" s="183">
        <v>27990.0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44665.0</v>
      </c>
      <c r="C8" s="183">
        <v>25000.0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44669.0</v>
      </c>
      <c r="C9" s="183">
        <v>108000.0</v>
      </c>
      <c r="D9" s="184" t="s">
        <v>112</v>
      </c>
      <c r="E9" s="185" t="s">
        <v>19</v>
      </c>
      <c r="F9" s="202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44671.0</v>
      </c>
      <c r="C10" s="183">
        <v>6300.0</v>
      </c>
      <c r="D10" s="184" t="s">
        <v>15</v>
      </c>
      <c r="E10" s="185" t="s">
        <v>15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44672.0</v>
      </c>
      <c r="C11" s="192">
        <v>9255.0</v>
      </c>
      <c r="D11" s="184" t="s">
        <v>24</v>
      </c>
      <c r="E11" s="185" t="s">
        <v>24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44672.0</v>
      </c>
      <c r="C12" s="183">
        <v>25000.0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44673.0</v>
      </c>
      <c r="C13" s="183">
        <f>IFERROR(__xludf.DUMMYFUNCTION("15.6926*GOOGLEFINANCE((""CURRENCY:CLFCLP""))"),640662.16445)</f>
        <v>640662.1645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44677.0</v>
      </c>
      <c r="C14" s="183">
        <f>175537/3</f>
        <v>58512.33333</v>
      </c>
      <c r="D14" s="184" t="s">
        <v>429</v>
      </c>
      <c r="E14" s="185" t="s">
        <v>430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428</v>
      </c>
      <c r="E15" s="185" t="s">
        <v>19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44681.0</v>
      </c>
      <c r="C16" s="183">
        <v>25000.0</v>
      </c>
      <c r="D16" s="184" t="s">
        <v>425</v>
      </c>
      <c r="E16" s="185" t="s">
        <v>22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214">
        <v>4370.0</v>
      </c>
      <c r="D17" s="184" t="s">
        <v>25</v>
      </c>
      <c r="E17" s="185" t="s">
        <v>25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427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82">
        <v>44677.0</v>
      </c>
      <c r="C19" s="183">
        <v>168060.0</v>
      </c>
      <c r="D19" s="184" t="s">
        <v>21</v>
      </c>
      <c r="E19" s="185" t="s">
        <v>21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424</v>
      </c>
      <c r="E20" s="185" t="s">
        <v>26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112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1342265.164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44621.0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1342265.164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44621.0</v>
      </c>
      <c r="C6" s="183">
        <v>56333.0</v>
      </c>
      <c r="D6" s="184" t="s">
        <v>429</v>
      </c>
      <c r="E6" s="185" t="s">
        <v>430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44621.0</v>
      </c>
      <c r="C7" s="183">
        <v>120000.0</v>
      </c>
      <c r="D7" s="184" t="s">
        <v>112</v>
      </c>
      <c r="E7" s="185" t="s">
        <v>19</v>
      </c>
      <c r="F7" s="202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44623.0</v>
      </c>
      <c r="C8" s="183">
        <v>25000.0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44628.0</v>
      </c>
      <c r="C9" s="183">
        <v>117000.0</v>
      </c>
      <c r="D9" s="184" t="s">
        <v>428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44631.0</v>
      </c>
      <c r="C10" s="183">
        <v>25000.0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44635.0</v>
      </c>
      <c r="C11" s="106">
        <v>4160.0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44635.0</v>
      </c>
      <c r="C12" s="183">
        <v>8900.0</v>
      </c>
      <c r="D12" s="184" t="s">
        <v>24</v>
      </c>
      <c r="E12" s="185" t="s">
        <v>24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44635.0</v>
      </c>
      <c r="C13" s="183">
        <v>27990.0</v>
      </c>
      <c r="D13" s="184" t="s">
        <v>23</v>
      </c>
      <c r="E13" s="185" t="s">
        <v>23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44640.0</v>
      </c>
      <c r="C14" s="183">
        <v>6300.0</v>
      </c>
      <c r="D14" s="184" t="s">
        <v>15</v>
      </c>
      <c r="E14" s="185" t="s">
        <v>15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44638.0</v>
      </c>
      <c r="C15" s="183">
        <v>25000.0</v>
      </c>
      <c r="D15" s="184" t="s">
        <v>22</v>
      </c>
      <c r="E15" s="185" t="s">
        <v>22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44651.0</v>
      </c>
      <c r="C16" s="183">
        <v>25000.0</v>
      </c>
      <c r="D16" s="184" t="s">
        <v>425</v>
      </c>
      <c r="E16" s="185" t="s">
        <v>22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44644.0</v>
      </c>
      <c r="C17" s="183">
        <v>71000.0</v>
      </c>
      <c r="D17" s="184" t="s">
        <v>427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>
        <v>44644.0</v>
      </c>
      <c r="C18" s="183">
        <v>177531.0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>
        <v>44644.0</v>
      </c>
      <c r="C19" s="183">
        <f>IFERROR(__xludf.DUMMYFUNCTION("15.6926*GOOGLEFINANCE((""CURRENCY:CLFCLP""))"),640662.16445)</f>
        <v>640662.1645</v>
      </c>
      <c r="D19" s="184" t="s">
        <v>20</v>
      </c>
      <c r="E19" s="185" t="s">
        <v>20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1689.0</v>
      </c>
      <c r="D20" s="184" t="s">
        <v>424</v>
      </c>
      <c r="E20" s="185" t="s">
        <v>26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112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1073428.164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44593.0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1073428.164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214">
        <v>7580.0</v>
      </c>
      <c r="D6" s="184" t="s">
        <v>25</v>
      </c>
      <c r="E6" s="185" t="s">
        <v>25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44593.0</v>
      </c>
      <c r="C7" s="183">
        <v>10700.0</v>
      </c>
      <c r="D7" s="184" t="s">
        <v>18</v>
      </c>
      <c r="E7" s="185" t="s">
        <v>18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10841.0</v>
      </c>
      <c r="D8" s="184" t="s">
        <v>24</v>
      </c>
      <c r="E8" s="185" t="s">
        <v>24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44595.0</v>
      </c>
      <c r="C9" s="183">
        <v>25000.0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44620.0</v>
      </c>
      <c r="C10" s="183">
        <v>25000.0</v>
      </c>
      <c r="D10" s="184" t="s">
        <v>425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44616.0</v>
      </c>
      <c r="C11" s="192">
        <v>25000.0</v>
      </c>
      <c r="D11" s="184" t="s">
        <v>425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44599.0</v>
      </c>
      <c r="C12" s="183">
        <v>28420.0</v>
      </c>
      <c r="D12" s="184" t="s">
        <v>23</v>
      </c>
      <c r="E12" s="185" t="s">
        <v>23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44601.0</v>
      </c>
      <c r="C13" s="183">
        <v>30000.0</v>
      </c>
      <c r="D13" s="184" t="s">
        <v>22</v>
      </c>
      <c r="E13" s="185" t="s">
        <v>22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40000.0</v>
      </c>
      <c r="D14" s="184" t="s">
        <v>427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44593.0</v>
      </c>
      <c r="C15" s="183">
        <v>56333.0</v>
      </c>
      <c r="D15" s="184" t="s">
        <v>429</v>
      </c>
      <c r="E15" s="185" t="s">
        <v>430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82"/>
      <c r="C16" s="183">
        <v>167592.0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f>IFERROR(__xludf.DUMMYFUNCTION("15.6926*GOOGLEFINANCE((""CURRENCY:CLFCLP""))"),640662.16445)</f>
        <v>640662.1645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428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424</v>
      </c>
      <c r="E19" s="185" t="s">
        <v>26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112</v>
      </c>
      <c r="E20" s="185" t="s">
        <v>19</v>
      </c>
      <c r="F20" s="202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112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112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1169085.164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1600.0</v>
      </c>
      <c r="D5" s="174" t="s">
        <v>424</v>
      </c>
      <c r="E5" s="175" t="s">
        <v>26</v>
      </c>
      <c r="F5" s="18" t="s">
        <v>7</v>
      </c>
      <c r="G5" s="20"/>
      <c r="H5" s="172"/>
      <c r="I5" s="173">
        <f>SUMIF(F:F,"Pagado",C:C)</f>
        <v>1169085.164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6300.0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10700.0</v>
      </c>
      <c r="D7" s="184" t="s">
        <v>18</v>
      </c>
      <c r="E7" s="185" t="s">
        <v>18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12600.0</v>
      </c>
      <c r="D8" s="184" t="s">
        <v>24</v>
      </c>
      <c r="E8" s="185" t="s">
        <v>24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15700.0</v>
      </c>
      <c r="D9" s="184" t="s">
        <v>25</v>
      </c>
      <c r="E9" s="185" t="s">
        <v>25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25000.0</v>
      </c>
      <c r="D10" s="184" t="s">
        <v>22</v>
      </c>
      <c r="E10" s="185" t="s">
        <v>22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83">
        <v>25000.0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25000.0</v>
      </c>
      <c r="D12" s="184" t="s">
        <v>425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29190.0</v>
      </c>
      <c r="D13" s="184" t="s">
        <v>23</v>
      </c>
      <c r="E13" s="185" t="s">
        <v>23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35000.0</v>
      </c>
      <c r="D14" s="184" t="s">
        <v>112</v>
      </c>
      <c r="E14" s="185" t="s">
        <v>19</v>
      </c>
      <c r="F14" s="202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47000.0</v>
      </c>
      <c r="D15" s="184" t="s">
        <v>427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56333.0</v>
      </c>
      <c r="D16" s="184" t="s">
        <v>429</v>
      </c>
      <c r="E16" s="185" t="s">
        <v>430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/>
      <c r="C17" s="183">
        <v>156000.0</v>
      </c>
      <c r="D17" s="184" t="s">
        <v>21</v>
      </c>
      <c r="E17" s="185" t="s">
        <v>21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>
        <f>IFERROR(__xludf.DUMMYFUNCTION("15.6926*GOOGLEFINANCE((""CURRENCY:CLFCLP""))"),640662.16445)</f>
        <v>640662.1645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58000.0</v>
      </c>
      <c r="D19" s="184" t="s">
        <v>112</v>
      </c>
      <c r="E19" s="185" t="s">
        <v>19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 t="s">
        <v>112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 t="s">
        <v>428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>
        <v>25000.0</v>
      </c>
      <c r="D22" s="184" t="s">
        <v>425</v>
      </c>
      <c r="E22" s="185" t="s">
        <v>22</v>
      </c>
      <c r="F22" s="18" t="s">
        <v>7</v>
      </c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B4:B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958473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958473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11800.0</v>
      </c>
      <c r="D7" s="184" t="s">
        <v>24</v>
      </c>
      <c r="E7" s="185" t="s">
        <v>24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28000.0</v>
      </c>
      <c r="D8" s="184" t="s">
        <v>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36940.0</v>
      </c>
      <c r="D9" s="184" t="s">
        <v>427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56333.0</v>
      </c>
      <c r="D10" s="184" t="s">
        <v>429</v>
      </c>
      <c r="E10" s="185" t="s">
        <v>430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83">
        <v>482000.0</v>
      </c>
      <c r="D11" s="184" t="s">
        <v>20</v>
      </c>
      <c r="E11" s="185" t="s">
        <v>20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28000.0</v>
      </c>
      <c r="D12" s="184" t="s">
        <v>112</v>
      </c>
      <c r="E12" s="185" t="s">
        <v>19</v>
      </c>
      <c r="F12" s="202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/>
      <c r="D13" s="184" t="s">
        <v>112</v>
      </c>
      <c r="E13" s="185" t="s">
        <v>19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/>
      <c r="D14" s="184" t="s">
        <v>112</v>
      </c>
      <c r="E14" s="185" t="s">
        <v>19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106000.0</v>
      </c>
      <c r="D15" s="184" t="s">
        <v>428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25</v>
      </c>
      <c r="E16" s="185" t="s">
        <v>25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278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142400.0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424</v>
      </c>
      <c r="E19" s="185" t="s">
        <v>26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>
        <v>25000.0</v>
      </c>
      <c r="D20" s="184" t="s">
        <v>22</v>
      </c>
      <c r="E20" s="185" t="s">
        <v>22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>
        <v>25000.0</v>
      </c>
      <c r="D21" s="184"/>
      <c r="E21" s="185" t="s">
        <v>22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960282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/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960282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13852.0</v>
      </c>
      <c r="D7" s="184" t="s">
        <v>24</v>
      </c>
      <c r="E7" s="185" t="s">
        <v>24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27990.0</v>
      </c>
      <c r="D8" s="184" t="s">
        <v>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85000.0</v>
      </c>
      <c r="D9" s="184" t="s">
        <v>427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56333.0</v>
      </c>
      <c r="D10" s="184" t="s">
        <v>429</v>
      </c>
      <c r="E10" s="185" t="s">
        <v>430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83">
        <v>471000.0</v>
      </c>
      <c r="D11" s="184" t="s">
        <v>20</v>
      </c>
      <c r="E11" s="185" t="s">
        <v>20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53000.0</v>
      </c>
      <c r="D12" s="184" t="s">
        <v>112</v>
      </c>
      <c r="E12" s="185" t="s">
        <v>19</v>
      </c>
      <c r="F12" s="202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45421.0</v>
      </c>
      <c r="D13" s="184" t="s">
        <v>112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/>
      <c r="D14" s="184" t="s">
        <v>112</v>
      </c>
      <c r="E14" s="185" t="s">
        <v>19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428</v>
      </c>
      <c r="E15" s="185" t="s">
        <v>19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6350.0</v>
      </c>
      <c r="D16" s="184" t="s">
        <v>25</v>
      </c>
      <c r="E16" s="185" t="s">
        <v>25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278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/>
      <c r="C18" s="183">
        <v>180954.0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>
        <v>3382.0</v>
      </c>
      <c r="D19" s="184" t="s">
        <v>424</v>
      </c>
      <c r="E19" s="185" t="s">
        <v>26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909270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44471.0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909270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44471.0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44475.0</v>
      </c>
      <c r="C7" s="183">
        <v>13200.0</v>
      </c>
      <c r="D7" s="184" t="s">
        <v>24</v>
      </c>
      <c r="E7" s="185" t="s">
        <v>24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44475.0</v>
      </c>
      <c r="C8" s="183">
        <v>27990.0</v>
      </c>
      <c r="D8" s="184" t="s">
        <v>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44482.0</v>
      </c>
      <c r="C9" s="183">
        <v>23000.0</v>
      </c>
      <c r="D9" s="184" t="s">
        <v>427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/>
      <c r="C10" s="183">
        <v>25400.0</v>
      </c>
      <c r="D10" s="184" t="s">
        <v>112</v>
      </c>
      <c r="E10" s="185" t="s">
        <v>19</v>
      </c>
      <c r="F10" s="202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44481.0</v>
      </c>
      <c r="C11" s="183">
        <v>46362.0</v>
      </c>
      <c r="D11" s="184" t="s">
        <v>112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56333.0</v>
      </c>
      <c r="D12" s="184" t="s">
        <v>429</v>
      </c>
      <c r="E12" s="185" t="s">
        <v>430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44472.0</v>
      </c>
      <c r="C13" s="183">
        <v>60000.0</v>
      </c>
      <c r="D13" s="184" t="s">
        <v>112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466000.0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428</v>
      </c>
      <c r="E15" s="185" t="s">
        <v>19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44494.0</v>
      </c>
      <c r="C16" s="183">
        <v>5190.0</v>
      </c>
      <c r="D16" s="184" t="s">
        <v>25</v>
      </c>
      <c r="E16" s="185" t="s">
        <v>25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278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82">
        <v>44494.0</v>
      </c>
      <c r="C18" s="183">
        <v>168795.0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424</v>
      </c>
      <c r="E19" s="185" t="s">
        <v>26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1114275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44440.0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1114275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44440.0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44440.0</v>
      </c>
      <c r="C7" s="183">
        <v>466000.0</v>
      </c>
      <c r="D7" s="184" t="s">
        <v>20</v>
      </c>
      <c r="E7" s="185" t="s">
        <v>20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44444.0</v>
      </c>
      <c r="C8" s="183">
        <v>21990.0</v>
      </c>
      <c r="D8" s="184" t="s">
        <v>423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44444.0</v>
      </c>
      <c r="C9" s="183">
        <v>56333.0</v>
      </c>
      <c r="D9" s="184" t="s">
        <v>429</v>
      </c>
      <c r="E9" s="185" t="s">
        <v>430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44452.0</v>
      </c>
      <c r="C10" s="183">
        <v>80000.0</v>
      </c>
      <c r="D10" s="184" t="s">
        <v>112</v>
      </c>
      <c r="E10" s="185" t="s">
        <v>19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44453.0</v>
      </c>
      <c r="C11" s="183">
        <v>119000.0</v>
      </c>
      <c r="D11" s="184" t="s">
        <v>428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44456.0</v>
      </c>
      <c r="C12" s="183">
        <v>8200.0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44456.0</v>
      </c>
      <c r="C13" s="183">
        <v>32000.0</v>
      </c>
      <c r="D13" s="184" t="s">
        <v>112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44456.0</v>
      </c>
      <c r="C14" s="183">
        <v>49000.0</v>
      </c>
      <c r="D14" s="184" t="s">
        <v>278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24</v>
      </c>
      <c r="E15" s="185" t="s">
        <v>24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44465.0</v>
      </c>
      <c r="C16" s="183">
        <v>84000.0</v>
      </c>
      <c r="D16" s="184" t="s">
        <v>427</v>
      </c>
      <c r="E16" s="185" t="s">
        <v>19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82">
        <v>44462.0</v>
      </c>
      <c r="C17" s="183">
        <v>177519.0</v>
      </c>
      <c r="D17" s="184" t="s">
        <v>21</v>
      </c>
      <c r="E17" s="185" t="s">
        <v>21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>
        <v>44462.0</v>
      </c>
      <c r="C18" s="183">
        <v>3233.0</v>
      </c>
      <c r="D18" s="184" t="s">
        <v>424</v>
      </c>
      <c r="E18" s="185" t="s">
        <v>26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431</v>
      </c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814107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44409.0</v>
      </c>
      <c r="C5" s="173">
        <v>466000.0</v>
      </c>
      <c r="D5" s="174" t="s">
        <v>20</v>
      </c>
      <c r="E5" s="175" t="s">
        <v>20</v>
      </c>
      <c r="F5" s="18" t="s">
        <v>7</v>
      </c>
      <c r="G5" s="20"/>
      <c r="H5" s="172"/>
      <c r="I5" s="173">
        <f>SUMIF(F:F,"Pagado",C:C)</f>
        <v>814107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44409.0</v>
      </c>
      <c r="C6" s="183">
        <v>53333.0</v>
      </c>
      <c r="D6" s="184" t="s">
        <v>429</v>
      </c>
      <c r="E6" s="185" t="s">
        <v>430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44410.0</v>
      </c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44410.0</v>
      </c>
      <c r="C8" s="183">
        <v>10700.0</v>
      </c>
      <c r="D8" s="184" t="s">
        <v>18</v>
      </c>
      <c r="E8" s="185" t="s">
        <v>18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44409.0</v>
      </c>
      <c r="C9" s="183">
        <v>57210.0</v>
      </c>
      <c r="D9" s="184" t="s">
        <v>112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44417.0</v>
      </c>
      <c r="C10" s="183">
        <v>21990.0</v>
      </c>
      <c r="D10" s="184" t="s">
        <v>423</v>
      </c>
      <c r="E10" s="185" t="s">
        <v>23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44431.0</v>
      </c>
      <c r="C11" s="183">
        <v>12000.0</v>
      </c>
      <c r="D11" s="184" t="s">
        <v>24</v>
      </c>
      <c r="E11" s="185" t="s">
        <v>24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/>
      <c r="D12" s="184" t="s">
        <v>25</v>
      </c>
      <c r="E12" s="185" t="s">
        <v>25</v>
      </c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/>
      <c r="D13" s="184" t="s">
        <v>427</v>
      </c>
      <c r="E13" s="185" t="s">
        <v>19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/>
      <c r="D14" s="184" t="s">
        <v>428</v>
      </c>
      <c r="E14" s="185" t="s">
        <v>19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82"/>
      <c r="C15" s="183">
        <v>174074.0</v>
      </c>
      <c r="D15" s="184" t="s">
        <v>21</v>
      </c>
      <c r="E15" s="185" t="s">
        <v>21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424</v>
      </c>
      <c r="E16" s="185" t="s">
        <v>26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44418.0</v>
      </c>
      <c r="C17" s="183">
        <v>12500.0</v>
      </c>
      <c r="D17" s="184" t="s">
        <v>278</v>
      </c>
      <c r="E17" s="185" t="s">
        <v>19</v>
      </c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431</v>
      </c>
      <c r="E18" s="185"/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112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969900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44378.0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969900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44378.0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44378.0</v>
      </c>
      <c r="C7" s="183">
        <v>27000.0</v>
      </c>
      <c r="D7" s="184" t="s">
        <v>112</v>
      </c>
      <c r="E7" s="185" t="s">
        <v>19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44378.0</v>
      </c>
      <c r="C8" s="183">
        <v>466000.0</v>
      </c>
      <c r="D8" s="184" t="s">
        <v>20</v>
      </c>
      <c r="E8" s="185" t="s">
        <v>20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44378.0</v>
      </c>
      <c r="C9" s="183">
        <v>53333.0</v>
      </c>
      <c r="D9" s="184" t="s">
        <v>429</v>
      </c>
      <c r="E9" s="185" t="s">
        <v>430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44381.0</v>
      </c>
      <c r="C10" s="183">
        <v>21990.0</v>
      </c>
      <c r="D10" s="184" t="s">
        <v>423</v>
      </c>
      <c r="E10" s="185" t="s">
        <v>23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44385.0</v>
      </c>
      <c r="C11" s="183">
        <v>7818.0</v>
      </c>
      <c r="D11" s="184" t="s">
        <v>24</v>
      </c>
      <c r="E11" s="185" t="s">
        <v>24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44395.0</v>
      </c>
      <c r="C12" s="183">
        <v>15130.0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44395.0</v>
      </c>
      <c r="C13" s="183">
        <v>126000.0</v>
      </c>
      <c r="D13" s="184" t="s">
        <v>427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44397.0</v>
      </c>
      <c r="C14" s="183">
        <v>68452.0</v>
      </c>
      <c r="D14" s="184" t="s">
        <v>428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82">
        <v>44401.0</v>
      </c>
      <c r="C15" s="183">
        <v>162615.0</v>
      </c>
      <c r="D15" s="184" t="s">
        <v>21</v>
      </c>
      <c r="E15" s="185" t="s">
        <v>21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44401.0</v>
      </c>
      <c r="C16" s="183">
        <v>4562.0</v>
      </c>
      <c r="D16" s="184" t="s">
        <v>424</v>
      </c>
      <c r="E16" s="185" t="s">
        <v>26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278</v>
      </c>
      <c r="E17" s="185" t="s">
        <v>19</v>
      </c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 t="s">
        <v>431</v>
      </c>
      <c r="E18" s="185"/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 t="s">
        <v>112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1009413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44348.0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1009413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44348.0</v>
      </c>
      <c r="C6" s="183">
        <v>116589.0</v>
      </c>
      <c r="D6" s="184" t="s">
        <v>428</v>
      </c>
      <c r="E6" s="185" t="s">
        <v>19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44348.0</v>
      </c>
      <c r="C7" s="183">
        <v>466000.0</v>
      </c>
      <c r="D7" s="184" t="s">
        <v>20</v>
      </c>
      <c r="E7" s="185" t="s">
        <v>20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44349.0</v>
      </c>
      <c r="C8" s="183">
        <v>6300.0</v>
      </c>
      <c r="D8" s="184" t="s">
        <v>15</v>
      </c>
      <c r="E8" s="185" t="s">
        <v>15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44355.0</v>
      </c>
      <c r="C9" s="183">
        <v>21990.0</v>
      </c>
      <c r="D9" s="184" t="s">
        <v>423</v>
      </c>
      <c r="E9" s="185" t="s">
        <v>23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44356.0</v>
      </c>
      <c r="C10" s="183">
        <v>28500.0</v>
      </c>
      <c r="D10" s="184" t="s">
        <v>427</v>
      </c>
      <c r="E10" s="185" t="s">
        <v>19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44362.0</v>
      </c>
      <c r="C11" s="183">
        <v>1900.0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44362.0</v>
      </c>
      <c r="C12" s="183">
        <v>14181.0</v>
      </c>
      <c r="D12" s="184" t="s">
        <v>24</v>
      </c>
      <c r="E12" s="185" t="s">
        <v>24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44362.0</v>
      </c>
      <c r="C13" s="183">
        <v>28000.0</v>
      </c>
      <c r="D13" s="184" t="s">
        <v>112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44362.0</v>
      </c>
      <c r="C14" s="183">
        <v>35700.0</v>
      </c>
      <c r="D14" s="184" t="s">
        <v>278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44371.0</v>
      </c>
      <c r="C15" s="183">
        <v>171383.0</v>
      </c>
      <c r="D15" s="184" t="s">
        <v>21</v>
      </c>
      <c r="E15" s="185" t="s">
        <v>21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424</v>
      </c>
      <c r="E16" s="185" t="s">
        <v>26</v>
      </c>
      <c r="F16" s="18"/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44370.0</v>
      </c>
      <c r="C17" s="183">
        <v>45170.0</v>
      </c>
      <c r="D17" s="184" t="s">
        <v>431</v>
      </c>
      <c r="E17" s="185"/>
      <c r="F17" s="18" t="s">
        <v>7</v>
      </c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>
        <v>44373.0</v>
      </c>
      <c r="C18" s="183">
        <v>63000.0</v>
      </c>
      <c r="D18" s="184" t="s">
        <v>112</v>
      </c>
      <c r="E18" s="185" t="s">
        <v>19</v>
      </c>
      <c r="F18" s="18" t="s">
        <v>7</v>
      </c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1015479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44333.0</v>
      </c>
      <c r="C5" s="173">
        <v>2690.0</v>
      </c>
      <c r="D5" s="174" t="s">
        <v>25</v>
      </c>
      <c r="E5" s="175" t="s">
        <v>25</v>
      </c>
      <c r="F5" s="18" t="s">
        <v>7</v>
      </c>
      <c r="G5" s="20"/>
      <c r="H5" s="172"/>
      <c r="I5" s="173">
        <f>SUMIF(F:F,"Pagado",C:C)</f>
        <v>1015479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44317.0</v>
      </c>
      <c r="C6" s="183">
        <v>6300.0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44317.0</v>
      </c>
      <c r="C7" s="183">
        <v>10700.0</v>
      </c>
      <c r="D7" s="184" t="s">
        <v>18</v>
      </c>
      <c r="E7" s="185" t="s">
        <v>18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44330.0</v>
      </c>
      <c r="C8" s="183">
        <v>21990.0</v>
      </c>
      <c r="D8" s="184" t="s">
        <v>423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44333.0</v>
      </c>
      <c r="C9" s="183">
        <v>26468.0</v>
      </c>
      <c r="D9" s="184" t="s">
        <v>24</v>
      </c>
      <c r="E9" s="185" t="s">
        <v>24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44326.0</v>
      </c>
      <c r="C10" s="183">
        <v>44874.0</v>
      </c>
      <c r="D10" s="184" t="s">
        <v>432</v>
      </c>
      <c r="E10" s="185" t="s">
        <v>19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44317.0</v>
      </c>
      <c r="C11" s="183">
        <v>54710.0</v>
      </c>
      <c r="D11" s="184" t="s">
        <v>278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>
        <v>44317.0</v>
      </c>
      <c r="C12" s="183">
        <v>61750.0</v>
      </c>
      <c r="D12" s="184" t="s">
        <v>428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>
        <v>44334.0</v>
      </c>
      <c r="C13" s="183">
        <v>70000.0</v>
      </c>
      <c r="D13" s="184" t="s">
        <v>427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>
        <v>44341.0</v>
      </c>
      <c r="C14" s="183">
        <v>161513.0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44341.0</v>
      </c>
      <c r="C15" s="183">
        <v>550000.0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44341.0</v>
      </c>
      <c r="C16" s="183">
        <v>4484.0</v>
      </c>
      <c r="D16" s="184" t="s">
        <v>424</v>
      </c>
      <c r="E16" s="185" t="s">
        <v>26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431</v>
      </c>
      <c r="E17" s="185"/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/>
      <c r="E18" s="185"/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C4:C34"/>
      <sortCondition ref="B4:B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1041831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44287.0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1041831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44287.0</v>
      </c>
      <c r="C6" s="183">
        <v>6300.0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44289.0</v>
      </c>
      <c r="C7" s="183">
        <f>62000*0.7</f>
        <v>43400</v>
      </c>
      <c r="D7" s="184" t="s">
        <v>433</v>
      </c>
      <c r="E7" s="185" t="s">
        <v>19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44294.0</v>
      </c>
      <c r="C8" s="183">
        <v>21990.0</v>
      </c>
      <c r="D8" s="184" t="s">
        <v>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44295.0</v>
      </c>
      <c r="C9" s="183">
        <v>58000.0</v>
      </c>
      <c r="D9" s="184" t="s">
        <v>434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44302.0</v>
      </c>
      <c r="C10" s="183">
        <v>69000.0</v>
      </c>
      <c r="D10" s="184" t="s">
        <v>428</v>
      </c>
      <c r="E10" s="185" t="s">
        <v>19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/>
      <c r="C11" s="183">
        <v>12200.0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>
        <v>16185.0</v>
      </c>
      <c r="D12" s="184" t="s">
        <v>24</v>
      </c>
      <c r="E12" s="185" t="s">
        <v>24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550000.0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>
        <v>110000.0</v>
      </c>
      <c r="D14" s="184" t="s">
        <v>432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424</v>
      </c>
      <c r="E15" s="185" t="s">
        <v>26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144056.0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19000.0</v>
      </c>
      <c r="D17" s="184" t="s">
        <v>431</v>
      </c>
      <c r="E17" s="185"/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/>
      <c r="E18" s="185"/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324806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SUMIF(F5:F34,"Por pagar",C5:C34)</f>
        <v>0</v>
      </c>
      <c r="O4" s="170"/>
      <c r="P4" s="170"/>
      <c r="Q4" s="171"/>
    </row>
    <row r="5" ht="19.5" customHeight="1">
      <c r="A5" s="18"/>
      <c r="B5" s="172">
        <v>44256.0</v>
      </c>
      <c r="C5" s="173">
        <v>25990.0</v>
      </c>
      <c r="D5" s="174" t="s">
        <v>23</v>
      </c>
      <c r="E5" s="175" t="s">
        <v>23</v>
      </c>
      <c r="F5" s="18" t="s">
        <v>7</v>
      </c>
      <c r="G5" s="20"/>
      <c r="H5" s="172"/>
      <c r="I5" s="173">
        <f>SUMIF(F:F,"Pagado",C:C)</f>
        <v>324806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44256.0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44257.0</v>
      </c>
      <c r="C7" s="183">
        <v>6300.0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44261.0</v>
      </c>
      <c r="C8" s="183">
        <v>75000.0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44269.0</v>
      </c>
      <c r="C9" s="183">
        <v>58000.0</v>
      </c>
      <c r="D9" s="184" t="s">
        <v>434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171"/>
      <c r="O9" s="171"/>
      <c r="P9" s="171"/>
      <c r="Q9" s="171"/>
    </row>
    <row r="10" ht="19.5" customHeight="1">
      <c r="A10" s="18"/>
      <c r="B10" s="172">
        <v>44271.0</v>
      </c>
      <c r="C10" s="183">
        <v>4600.0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86"/>
      <c r="K10" s="185"/>
      <c r="L10" s="20"/>
      <c r="M10" s="190"/>
      <c r="N10" s="191"/>
      <c r="O10" s="190"/>
      <c r="P10" s="171"/>
      <c r="Q10" s="171"/>
    </row>
    <row r="11" ht="19.5" customHeight="1">
      <c r="A11" s="18"/>
      <c r="B11" s="172">
        <v>44271.0</v>
      </c>
      <c r="C11" s="183">
        <v>9216.0</v>
      </c>
      <c r="D11" s="184" t="s">
        <v>24</v>
      </c>
      <c r="E11" s="185" t="s">
        <v>24</v>
      </c>
      <c r="F11" s="18" t="s">
        <v>7</v>
      </c>
      <c r="G11" s="18"/>
      <c r="H11" s="172"/>
      <c r="I11" s="173"/>
      <c r="J11" s="193"/>
      <c r="K11" s="194"/>
      <c r="L11" s="20"/>
      <c r="M11" s="195"/>
      <c r="N11" s="196"/>
      <c r="O11" s="197"/>
      <c r="P11" s="171"/>
      <c r="Q11" s="171"/>
    </row>
    <row r="12" ht="19.5" customHeight="1">
      <c r="A12" s="18"/>
      <c r="B12" s="172"/>
      <c r="C12" s="183"/>
      <c r="D12" s="184"/>
      <c r="E12" s="185"/>
      <c r="F12" s="18"/>
      <c r="G12" s="18"/>
      <c r="H12" s="172"/>
      <c r="I12" s="173"/>
      <c r="J12" s="193"/>
      <c r="K12" s="194"/>
      <c r="L12" s="20"/>
      <c r="M12" s="198"/>
      <c r="N12" s="199"/>
      <c r="O12" s="200"/>
      <c r="P12" s="171"/>
      <c r="Q12" s="171"/>
    </row>
    <row r="13" ht="19.5" customHeight="1">
      <c r="A13" s="18"/>
      <c r="B13" s="172"/>
      <c r="C13" s="183">
        <v>550000.0</v>
      </c>
      <c r="D13" s="184" t="s">
        <v>20</v>
      </c>
      <c r="E13" s="185" t="s">
        <v>20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171"/>
      <c r="Q13" s="171"/>
    </row>
    <row r="14" ht="19.5" customHeight="1">
      <c r="A14" s="18"/>
      <c r="B14" s="172"/>
      <c r="C14" s="183"/>
      <c r="D14" s="184" t="s">
        <v>432</v>
      </c>
      <c r="E14" s="185" t="s">
        <v>19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424</v>
      </c>
      <c r="E15" s="185" t="s">
        <v>26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135000.0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93"/>
      <c r="K16" s="194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/>
      <c r="E17" s="185"/>
      <c r="F17" s="18"/>
      <c r="G17" s="18"/>
      <c r="H17" s="172"/>
      <c r="I17" s="173"/>
      <c r="J17" s="186"/>
      <c r="K17" s="185"/>
      <c r="L17" s="20"/>
      <c r="M17" s="198"/>
      <c r="N17" s="201"/>
      <c r="O17" s="200"/>
      <c r="P17" s="20"/>
      <c r="Q17" s="20"/>
    </row>
    <row r="18" ht="19.5" customHeight="1">
      <c r="A18" s="18"/>
      <c r="B18" s="172"/>
      <c r="C18" s="183"/>
      <c r="D18" s="184"/>
      <c r="E18" s="185"/>
      <c r="F18" s="18"/>
      <c r="G18" s="18"/>
      <c r="H18" s="172"/>
      <c r="I18" s="173"/>
      <c r="J18" s="193"/>
      <c r="K18" s="194"/>
      <c r="L18" s="20"/>
      <c r="M18" s="198"/>
      <c r="N18" s="201"/>
      <c r="O18" s="203"/>
      <c r="P18" s="20"/>
      <c r="Q18" s="20"/>
    </row>
    <row r="19" ht="19.5" customHeight="1">
      <c r="A19" s="20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20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204"/>
      <c r="E24" s="185"/>
      <c r="F24" s="18"/>
      <c r="G24" s="18"/>
      <c r="H24" s="172"/>
      <c r="I24" s="173"/>
      <c r="J24" s="193"/>
      <c r="K24" s="194"/>
      <c r="L24" s="20"/>
      <c r="M24" s="18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18"/>
      <c r="B26" s="172"/>
      <c r="C26" s="183"/>
      <c r="D26" s="184"/>
      <c r="E26" s="185"/>
      <c r="F26" s="18"/>
      <c r="G26" s="18"/>
      <c r="H26" s="172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184"/>
      <c r="E30" s="185"/>
      <c r="F30" s="18"/>
      <c r="G30" s="18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183"/>
      <c r="D33" s="206"/>
      <c r="E33" s="194"/>
      <c r="F33" s="20"/>
      <c r="G33" s="20"/>
      <c r="H33" s="205"/>
      <c r="I33" s="173"/>
      <c r="J33" s="193"/>
      <c r="K33" s="194"/>
      <c r="L33" s="20"/>
      <c r="M33" s="20"/>
      <c r="Q33" s="20"/>
    </row>
    <row r="34" ht="19.5" customHeight="1">
      <c r="A34" s="20"/>
      <c r="B34" s="172"/>
      <c r="C34" s="207"/>
      <c r="D34" s="208"/>
      <c r="E34" s="209"/>
      <c r="F34" s="20"/>
      <c r="G34" s="20"/>
      <c r="H34" s="210"/>
      <c r="I34" s="173"/>
      <c r="J34" s="211"/>
      <c r="K34" s="209"/>
      <c r="L34" s="20"/>
      <c r="M34" s="20"/>
      <c r="Q34" s="20"/>
    </row>
  </sheetData>
  <autoFilter ref="$B$4:$F$34">
    <sortState ref="B4:F34">
      <sortCondition ref="B4:B34"/>
      <sortCondition ref="C4:C34"/>
      <sortCondition ref="F4:F34"/>
      <sortCondition ref="D4:D34"/>
      <sortCondition ref="E4:E34"/>
    </sortState>
  </autoFilter>
  <mergeCells count="1">
    <mergeCell ref="B1:K1"/>
  </mergeCells>
  <dataValidations>
    <dataValidation type="list" allowBlank="1" showErrorMessage="1" sqref="F5:F34">
      <formula1>"Por pagar,Pagado"</formula1>
    </dataValidation>
    <dataValidation type="list" allowBlank="1" sqref="K5:K34">
      <formula1>Resumen!$H$10:$I$26</formula1>
    </dataValidation>
    <dataValidation type="list" allowBlank="1" sqref="E5:E34">
      <formula1>Resumen!$B$10:$C$26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845978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44228.0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845978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44228.0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44228.0</v>
      </c>
      <c r="C7" s="183">
        <v>25990.0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44228.0</v>
      </c>
      <c r="C8" s="183">
        <v>1470.0</v>
      </c>
      <c r="D8" s="184" t="s">
        <v>424</v>
      </c>
      <c r="E8" s="185" t="s">
        <v>26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5780.0</v>
      </c>
      <c r="D9" s="184" t="s">
        <v>25</v>
      </c>
      <c r="E9" s="185" t="s">
        <v>25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44229.0</v>
      </c>
      <c r="C10" s="183">
        <v>66000.0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44241.0</v>
      </c>
      <c r="C11" s="183">
        <v>53814.0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/>
      <c r="C12" s="183"/>
      <c r="D12" s="184" t="s">
        <v>432</v>
      </c>
      <c r="E12" s="185" t="s">
        <v>19</v>
      </c>
      <c r="F12" s="18"/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/>
      <c r="C13" s="183"/>
      <c r="D13" s="184" t="s">
        <v>413</v>
      </c>
      <c r="E13" s="185" t="s">
        <v>413</v>
      </c>
      <c r="F13" s="18"/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/>
      <c r="C14" s="183">
        <v>0.0</v>
      </c>
      <c r="D14" s="184" t="s">
        <v>22</v>
      </c>
      <c r="E14" s="185" t="s">
        <v>22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44250.0</v>
      </c>
      <c r="C15" s="183">
        <v>9873.0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44250.0</v>
      </c>
      <c r="C16" s="183">
        <v>116051.0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44250.0</v>
      </c>
      <c r="C17" s="183">
        <v>550000.0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/>
      <c r="E18" s="185"/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919771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44197.0</v>
      </c>
      <c r="C5" s="173">
        <v>6300.0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919771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44197.0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44197.0</v>
      </c>
      <c r="C7" s="183">
        <v>25990.0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10140.0</v>
      </c>
      <c r="D8" s="184" t="s">
        <v>25</v>
      </c>
      <c r="E8" s="185" t="s">
        <v>25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44200.0</v>
      </c>
      <c r="C9" s="183">
        <f>58980</f>
        <v>58980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/>
      <c r="C10" s="183">
        <v>35000.0</v>
      </c>
      <c r="D10" s="184" t="s">
        <v>434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/>
      <c r="C11" s="183">
        <v>21990.0</v>
      </c>
      <c r="D11" s="184" t="s">
        <v>432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/>
      <c r="C12" s="183"/>
      <c r="D12" s="184" t="s">
        <v>424</v>
      </c>
      <c r="E12" s="185" t="s">
        <v>26</v>
      </c>
      <c r="F12" s="18"/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44218.0</v>
      </c>
      <c r="C13" s="183">
        <v>10000.0</v>
      </c>
      <c r="D13" s="184" t="s">
        <v>413</v>
      </c>
      <c r="E13" s="185" t="s">
        <v>413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/>
      <c r="C14" s="183">
        <v>0.0</v>
      </c>
      <c r="D14" s="184" t="s">
        <v>22</v>
      </c>
      <c r="E14" s="185" t="s">
        <v>22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16191.0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138100.0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586380.0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 t="s">
        <v>435</v>
      </c>
      <c r="E18" s="185" t="s">
        <v>414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436</v>
      </c>
      <c r="E19" s="185" t="s">
        <v>413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427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437</v>
      </c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438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871888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/>
      <c r="C5" s="173">
        <v>5990.0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871888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/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/>
      <c r="C7" s="183">
        <v>25990.0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/>
      <c r="C8" s="183">
        <v>5600.0</v>
      </c>
      <c r="D8" s="184" t="s">
        <v>25</v>
      </c>
      <c r="E8" s="185" t="s">
        <v>25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/>
      <c r="C9" s="183">
        <v>2745.0</v>
      </c>
      <c r="D9" s="184" t="s">
        <v>424</v>
      </c>
      <c r="E9" s="185" t="s">
        <v>26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/>
      <c r="C10" s="183">
        <v>20000.0</v>
      </c>
      <c r="D10" s="184" t="s">
        <v>413</v>
      </c>
      <c r="E10" s="185" t="s">
        <v>413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/>
      <c r="C11" s="183">
        <f>64000+12900</f>
        <v>76900</v>
      </c>
      <c r="D11" s="184" t="s">
        <v>433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/>
      <c r="C12" s="183">
        <v>0.0</v>
      </c>
      <c r="D12" s="184" t="s">
        <v>22</v>
      </c>
      <c r="E12" s="185" t="s">
        <v>22</v>
      </c>
      <c r="F12" s="18"/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/>
      <c r="C13" s="183">
        <v>11466.0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/>
      <c r="C14" s="183">
        <v>126117.0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586380.0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435</v>
      </c>
      <c r="E16" s="185" t="s">
        <v>414</v>
      </c>
      <c r="F16" s="18"/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434</v>
      </c>
      <c r="E17" s="185" t="s">
        <v>19</v>
      </c>
      <c r="F17" s="18"/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 t="s">
        <v>436</v>
      </c>
      <c r="E18" s="185" t="s">
        <v>413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432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427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437</v>
      </c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438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898695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44136.0</v>
      </c>
      <c r="C5" s="173">
        <v>5990.0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898695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44136.0</v>
      </c>
      <c r="C6" s="183">
        <v>10700.0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44138.0</v>
      </c>
      <c r="C7" s="183">
        <v>25990.0</v>
      </c>
      <c r="D7" s="184" t="s">
        <v>23</v>
      </c>
      <c r="E7" s="185" t="s">
        <v>23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44141.0</v>
      </c>
      <c r="C8" s="183">
        <v>20000.0</v>
      </c>
      <c r="D8" s="184" t="s">
        <v>413</v>
      </c>
      <c r="E8" s="185" t="s">
        <v>413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44152.0</v>
      </c>
      <c r="C9" s="183">
        <v>5600.0</v>
      </c>
      <c r="D9" s="184" t="s">
        <v>25</v>
      </c>
      <c r="E9" s="185" t="s">
        <v>25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44155.0</v>
      </c>
      <c r="C10" s="183">
        <v>115000.0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/>
      <c r="C11" s="183">
        <v>0.0</v>
      </c>
      <c r="D11" s="184" t="s">
        <v>22</v>
      </c>
      <c r="E11" s="185" t="s">
        <v>22</v>
      </c>
      <c r="F11" s="18"/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44161.0</v>
      </c>
      <c r="C12" s="183">
        <v>11500.0</v>
      </c>
      <c r="D12" s="184" t="s">
        <v>24</v>
      </c>
      <c r="E12" s="185" t="s">
        <v>24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44160.0</v>
      </c>
      <c r="C13" s="183">
        <v>117535.0</v>
      </c>
      <c r="D13" s="184" t="s">
        <v>21</v>
      </c>
      <c r="E13" s="185" t="s">
        <v>21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44160.0</v>
      </c>
      <c r="C14" s="183">
        <v>586380.0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/>
      <c r="D15" s="184" t="s">
        <v>435</v>
      </c>
      <c r="E15" s="185" t="s">
        <v>414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424</v>
      </c>
      <c r="E16" s="185" t="s">
        <v>26</v>
      </c>
      <c r="F16" s="18"/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434</v>
      </c>
      <c r="E17" s="185" t="s">
        <v>19</v>
      </c>
      <c r="F17" s="18"/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 t="s">
        <v>436</v>
      </c>
      <c r="E18" s="185" t="s">
        <v>413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432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427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437</v>
      </c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438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917527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44105.0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917527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44105.0</v>
      </c>
      <c r="C6" s="183">
        <v>5990.0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44105.0</v>
      </c>
      <c r="C7" s="183">
        <f>6571*COUNTIF(E:E,"Nana")</f>
        <v>13142</v>
      </c>
      <c r="D7" s="184" t="s">
        <v>435</v>
      </c>
      <c r="E7" s="185" t="s">
        <v>414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44107.0</v>
      </c>
      <c r="C8" s="183">
        <v>25990.0</v>
      </c>
      <c r="D8" s="184" t="s">
        <v>23</v>
      </c>
      <c r="E8" s="185" t="s">
        <v>23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44107.0</v>
      </c>
      <c r="C9" s="183">
        <v>4176.0</v>
      </c>
      <c r="D9" s="184" t="s">
        <v>424</v>
      </c>
      <c r="E9" s="185" t="s">
        <v>26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44121.0</v>
      </c>
      <c r="C10" s="183">
        <v>6540.0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44121.0</v>
      </c>
      <c r="C11" s="183">
        <v>25000.0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44128.0</v>
      </c>
      <c r="C12" s="183">
        <v>93000.0</v>
      </c>
      <c r="D12" s="184" t="s">
        <v>433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44129.0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44129.0</v>
      </c>
      <c r="C14" s="183">
        <v>121609.0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0.0</v>
      </c>
      <c r="D15" s="184" t="s">
        <v>22</v>
      </c>
      <c r="E15" s="185" t="s">
        <v>22</v>
      </c>
      <c r="F15" s="18"/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/>
      <c r="D16" s="184" t="s">
        <v>413</v>
      </c>
      <c r="E16" s="185" t="s">
        <v>413</v>
      </c>
      <c r="F16" s="18"/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436</v>
      </c>
      <c r="E17" s="185" t="s">
        <v>413</v>
      </c>
      <c r="F17" s="18"/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>
        <v>44135.0</v>
      </c>
      <c r="C18" s="183">
        <v>25000.0</v>
      </c>
      <c r="D18" s="184" t="s">
        <v>432</v>
      </c>
      <c r="E18" s="185" t="s">
        <v>19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>
        <v>0.0</v>
      </c>
      <c r="D19" s="184" t="s">
        <v>24</v>
      </c>
      <c r="E19" s="185" t="s">
        <v>24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427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437</v>
      </c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438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1110271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44075.0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1110271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44075.0</v>
      </c>
      <c r="C6" s="183">
        <v>25990.0</v>
      </c>
      <c r="D6" s="184" t="s">
        <v>23</v>
      </c>
      <c r="E6" s="185" t="s">
        <v>23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44075.0</v>
      </c>
      <c r="C7" s="183">
        <v>5990.0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44075.0</v>
      </c>
      <c r="C8" s="183">
        <v>40000.0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44076.0</v>
      </c>
      <c r="C9" s="183">
        <f>6571*COUNTIF(E:E,"Nana")</f>
        <v>13142</v>
      </c>
      <c r="D9" s="184" t="s">
        <v>435</v>
      </c>
      <c r="E9" s="185" t="s">
        <v>414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44079.0</v>
      </c>
      <c r="C10" s="183">
        <v>81090.0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/>
      <c r="C11" s="183"/>
      <c r="D11" s="184" t="s">
        <v>424</v>
      </c>
      <c r="E11" s="185" t="s">
        <v>26</v>
      </c>
      <c r="F11" s="18"/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44102.0</v>
      </c>
      <c r="C12" s="183">
        <v>20000.0</v>
      </c>
      <c r="D12" s="184" t="s">
        <v>413</v>
      </c>
      <c r="E12" s="185" t="s">
        <v>413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44091.0</v>
      </c>
      <c r="C13" s="183">
        <v>5600.0</v>
      </c>
      <c r="D13" s="184" t="s">
        <v>25</v>
      </c>
      <c r="E13" s="185" t="s">
        <v>25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/>
      <c r="C14" s="183"/>
      <c r="D14" s="184" t="s">
        <v>436</v>
      </c>
      <c r="E14" s="185" t="s">
        <v>413</v>
      </c>
      <c r="F14" s="18"/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44081.0</v>
      </c>
      <c r="C15" s="183">
        <v>9170.0</v>
      </c>
      <c r="D15" s="184" t="s">
        <v>434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44099.0</v>
      </c>
      <c r="C16" s="183">
        <v>586380.0</v>
      </c>
      <c r="D16" s="184" t="s">
        <v>20</v>
      </c>
      <c r="E16" s="185" t="s">
        <v>20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44090.0</v>
      </c>
      <c r="C17" s="183">
        <v>80000.0</v>
      </c>
      <c r="D17" s="184" t="s">
        <v>432</v>
      </c>
      <c r="E17" s="185" t="s">
        <v>19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>
        <v>12028.0</v>
      </c>
      <c r="D18" s="184" t="s">
        <v>24</v>
      </c>
      <c r="E18" s="185" t="s">
        <v>24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427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>
        <v>44099.0</v>
      </c>
      <c r="C20" s="183">
        <v>140181.0</v>
      </c>
      <c r="D20" s="184" t="s">
        <v>21</v>
      </c>
      <c r="E20" s="185" t="s">
        <v>21</v>
      </c>
      <c r="F20" s="18" t="s">
        <v>7</v>
      </c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>
        <v>44101.0</v>
      </c>
      <c r="C21" s="183">
        <v>20000.0</v>
      </c>
      <c r="D21" s="184" t="s">
        <v>437</v>
      </c>
      <c r="E21" s="185" t="s">
        <v>22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>
        <v>44101.0</v>
      </c>
      <c r="C22" s="183">
        <v>60000.0</v>
      </c>
      <c r="D22" s="184" t="s">
        <v>438</v>
      </c>
      <c r="E22" s="185" t="s">
        <v>19</v>
      </c>
      <c r="F22" s="18" t="s">
        <v>7</v>
      </c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1048950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44044.0</v>
      </c>
      <c r="C5" s="173">
        <v>10700.0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1048950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44044.0</v>
      </c>
      <c r="C6" s="183">
        <v>25990.0</v>
      </c>
      <c r="D6" s="184" t="s">
        <v>23</v>
      </c>
      <c r="E6" s="185" t="s">
        <v>23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44044.0</v>
      </c>
      <c r="C7" s="183">
        <f>33082-25990</f>
        <v>7092</v>
      </c>
      <c r="D7" s="184" t="s">
        <v>424</v>
      </c>
      <c r="E7" s="185" t="s">
        <v>26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44045.0</v>
      </c>
      <c r="C8" s="183">
        <v>5990.0</v>
      </c>
      <c r="D8" s="184" t="s">
        <v>15</v>
      </c>
      <c r="E8" s="185" t="s">
        <v>15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44046.0</v>
      </c>
      <c r="C9" s="183">
        <f>6571*COUNTIF(E:E,"Nana")</f>
        <v>13142</v>
      </c>
      <c r="D9" s="184" t="s">
        <v>435</v>
      </c>
      <c r="E9" s="185" t="s">
        <v>414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44046.0</v>
      </c>
      <c r="C10" s="183">
        <v>20000.0</v>
      </c>
      <c r="D10" s="184" t="s">
        <v>413</v>
      </c>
      <c r="E10" s="185" t="s">
        <v>413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44051.0</v>
      </c>
      <c r="C11" s="183">
        <v>46360.0</v>
      </c>
      <c r="D11" s="184" t="s">
        <v>433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44058.0</v>
      </c>
      <c r="C12" s="183">
        <v>7470.0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44061.0</v>
      </c>
      <c r="C13" s="183">
        <v>9000.0</v>
      </c>
      <c r="D13" s="184" t="s">
        <v>436</v>
      </c>
      <c r="E13" s="185" t="s">
        <v>413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44062.0</v>
      </c>
      <c r="C14" s="183">
        <v>12550.0</v>
      </c>
      <c r="D14" s="184" t="s">
        <v>434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60000.0</v>
      </c>
      <c r="D15" s="184" t="s">
        <v>22</v>
      </c>
      <c r="E15" s="185" t="s">
        <v>22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586380.0</v>
      </c>
      <c r="D16" s="184" t="s">
        <v>20</v>
      </c>
      <c r="E16" s="185" t="s">
        <v>20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>
        <v>61608.0</v>
      </c>
      <c r="D17" s="184" t="s">
        <v>432</v>
      </c>
      <c r="E17" s="185" t="s">
        <v>19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>
        <v>16119.0</v>
      </c>
      <c r="D18" s="184" t="s">
        <v>24</v>
      </c>
      <c r="E18" s="185" t="s">
        <v>24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427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v>166549.0</v>
      </c>
      <c r="D20" s="184" t="s">
        <v>21</v>
      </c>
      <c r="E20" s="185" t="s">
        <v>21</v>
      </c>
      <c r="F20" s="18" t="s">
        <v>7</v>
      </c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437</v>
      </c>
      <c r="E21" s="185" t="s">
        <v>22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438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1072498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44013.0</v>
      </c>
      <c r="C5" s="173">
        <v>5990.0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1072498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44013.0</v>
      </c>
      <c r="C6" s="183">
        <v>8990.0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44013.0</v>
      </c>
      <c r="C7" s="183">
        <f>6571*COUNTIF(E:E,"Nana")</f>
        <v>13142</v>
      </c>
      <c r="D7" s="184" t="s">
        <v>435</v>
      </c>
      <c r="E7" s="185" t="s">
        <v>414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44016.0</v>
      </c>
      <c r="C8" s="183">
        <v>20000.0</v>
      </c>
      <c r="D8" s="184" t="s">
        <v>413</v>
      </c>
      <c r="E8" s="185" t="s">
        <v>413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44020.0</v>
      </c>
      <c r="C9" s="183">
        <v>25990.0</v>
      </c>
      <c r="D9" s="184" t="s">
        <v>23</v>
      </c>
      <c r="E9" s="185" t="s">
        <v>23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44023.0</v>
      </c>
      <c r="C10" s="183">
        <v>49000.0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44027.0</v>
      </c>
      <c r="C11" s="183">
        <f>42000-6500</f>
        <v>35500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44029.0</v>
      </c>
      <c r="C12" s="183">
        <v>3070.0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/>
      <c r="C13" s="183">
        <v>60000.0</v>
      </c>
      <c r="D13" s="184" t="s">
        <v>22</v>
      </c>
      <c r="E13" s="185" t="s">
        <v>22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44036.0</v>
      </c>
      <c r="C14" s="183">
        <v>586380.0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44032.0</v>
      </c>
      <c r="C15" s="183">
        <v>58000.0</v>
      </c>
      <c r="D15" s="184" t="s">
        <v>432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/>
      <c r="C16" s="183">
        <v>15128.0</v>
      </c>
      <c r="D16" s="184" t="s">
        <v>24</v>
      </c>
      <c r="E16" s="185" t="s">
        <v>24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427</v>
      </c>
      <c r="E17" s="185" t="s">
        <v>19</v>
      </c>
      <c r="F17" s="18"/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>
        <v>44036.0</v>
      </c>
      <c r="C18" s="183">
        <v>146308.0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424</v>
      </c>
      <c r="E19" s="185" t="s">
        <v>26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437</v>
      </c>
      <c r="E20" s="185" t="s">
        <v>22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>
        <v>45000.0</v>
      </c>
      <c r="D21" s="184" t="s">
        <v>438</v>
      </c>
      <c r="E21" s="185" t="s">
        <v>19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1069291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43983.0</v>
      </c>
      <c r="C5" s="173">
        <v>5990.0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1069291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43983.0</v>
      </c>
      <c r="C6" s="183">
        <v>8990.0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43983.0</v>
      </c>
      <c r="C7" s="183">
        <v>20000.0</v>
      </c>
      <c r="D7" s="184" t="s">
        <v>413</v>
      </c>
      <c r="E7" s="185" t="s">
        <v>413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43983.0</v>
      </c>
      <c r="C8" s="183">
        <v>89000.0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43991.0</v>
      </c>
      <c r="C9" s="183">
        <f>6571*COUNTIF(E:E,"Nana")</f>
        <v>13142</v>
      </c>
      <c r="D9" s="184" t="s">
        <v>435</v>
      </c>
      <c r="E9" s="185" t="s">
        <v>414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43996.0</v>
      </c>
      <c r="C10" s="183">
        <v>43113.0</v>
      </c>
      <c r="D10" s="184" t="s">
        <v>434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43997.0</v>
      </c>
      <c r="C11" s="183">
        <v>6400.0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44002.0</v>
      </c>
      <c r="C12" s="183">
        <v>21000.0</v>
      </c>
      <c r="D12" s="184" t="s">
        <v>432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44008.0</v>
      </c>
      <c r="C13" s="183">
        <v>14385.0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/>
      <c r="C14" s="183">
        <v>60000.0</v>
      </c>
      <c r="D14" s="184" t="s">
        <v>22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/>
      <c r="C15" s="183">
        <v>80000.0</v>
      </c>
      <c r="D15" s="184" t="s">
        <v>427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44005.0</v>
      </c>
      <c r="C16" s="183">
        <v>120891.0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44007.0</v>
      </c>
      <c r="C17" s="183">
        <v>586380.0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>
        <v>22124.0</v>
      </c>
      <c r="D19" s="184" t="s">
        <v>23</v>
      </c>
      <c r="E19" s="185" t="s">
        <v>23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437</v>
      </c>
      <c r="E20" s="185" t="s">
        <v>22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F4:F33"/>
      <sortCondition ref="B4:B33"/>
      <sortCondition ref="C4:C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928688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43952.0</v>
      </c>
      <c r="C5" s="173"/>
      <c r="D5" s="174" t="s">
        <v>22</v>
      </c>
      <c r="E5" s="175" t="s">
        <v>22</v>
      </c>
      <c r="F5" s="18" t="s">
        <v>7</v>
      </c>
      <c r="G5" s="20"/>
      <c r="H5" s="172"/>
      <c r="I5" s="173">
        <f>SUMIF(F:F,"Pagado",C:C)</f>
        <v>928688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43952.0</v>
      </c>
      <c r="C6" s="183">
        <v>8990.0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43952.0</v>
      </c>
      <c r="C7" s="183"/>
      <c r="D7" s="184" t="s">
        <v>437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43953.0</v>
      </c>
      <c r="C8" s="183">
        <v>5990.0</v>
      </c>
      <c r="D8" s="184" t="s">
        <v>15</v>
      </c>
      <c r="E8" s="185" t="s">
        <v>15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43954.0</v>
      </c>
      <c r="C9" s="183">
        <v>57000.0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43959.0</v>
      </c>
      <c r="C10" s="183">
        <v>73000.0</v>
      </c>
      <c r="D10" s="184" t="s">
        <v>434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43965.0</v>
      </c>
      <c r="C11" s="183">
        <v>8790.0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43968.0</v>
      </c>
      <c r="C12" s="183">
        <v>33000.0</v>
      </c>
      <c r="D12" s="184" t="s">
        <v>427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43977.0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43978.0</v>
      </c>
      <c r="C14" s="183">
        <v>14606.0</v>
      </c>
      <c r="D14" s="184" t="s">
        <v>24</v>
      </c>
      <c r="E14" s="185" t="s">
        <v>24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43979.0</v>
      </c>
      <c r="C15" s="183">
        <v>2794.0</v>
      </c>
      <c r="D15" s="184" t="s">
        <v>424</v>
      </c>
      <c r="E15" s="185" t="s">
        <v>26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43980.0</v>
      </c>
      <c r="C16" s="183">
        <v>116014.0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43980.0</v>
      </c>
      <c r="C17" s="183">
        <v>22124.0</v>
      </c>
      <c r="D17" s="184" t="s">
        <v>23</v>
      </c>
      <c r="E17" s="185" t="s">
        <v>23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216">
        <f>6571*COUNTIF(E:E,"Nana")</f>
        <v>13142</v>
      </c>
      <c r="D18" s="184" t="s">
        <v>435</v>
      </c>
      <c r="E18" s="185" t="s">
        <v>414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>
        <v>20000.0</v>
      </c>
      <c r="D19" s="184" t="s">
        <v>413</v>
      </c>
      <c r="E19" s="185" t="s">
        <v>413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v>37000.0</v>
      </c>
      <c r="D20" s="184" t="s">
        <v>432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F4:F33"/>
      <sortCondition ref="D4:D33"/>
      <sortCondition ref="C4:C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1027401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43922.0</v>
      </c>
      <c r="C5" s="173">
        <v>20000.0</v>
      </c>
      <c r="D5" s="174" t="s">
        <v>413</v>
      </c>
      <c r="E5" s="175" t="s">
        <v>413</v>
      </c>
      <c r="F5" s="18" t="s">
        <v>7</v>
      </c>
      <c r="G5" s="20"/>
      <c r="H5" s="172"/>
      <c r="I5" s="173">
        <f>SUMIF(F:F,"Pagado",C:C)</f>
        <v>1027401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43922.0</v>
      </c>
      <c r="C6" s="183"/>
      <c r="D6" s="184" t="s">
        <v>22</v>
      </c>
      <c r="E6" s="185" t="s">
        <v>22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43922.0</v>
      </c>
      <c r="C7" s="183">
        <v>8990.0</v>
      </c>
      <c r="D7" s="184" t="s">
        <v>18</v>
      </c>
      <c r="E7" s="185" t="s">
        <v>18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43922.0</v>
      </c>
      <c r="C8" s="183">
        <v>5990.0</v>
      </c>
      <c r="D8" s="184" t="s">
        <v>15</v>
      </c>
      <c r="E8" s="185" t="s">
        <v>15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43925.0</v>
      </c>
      <c r="C9" s="183">
        <v>111396.0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43934.0</v>
      </c>
      <c r="C10" s="183">
        <v>4650.0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43938.0</v>
      </c>
      <c r="C11" s="183">
        <v>105000.0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43944.0</v>
      </c>
      <c r="C12" s="183">
        <v>110355.0</v>
      </c>
      <c r="D12" s="184" t="s">
        <v>21</v>
      </c>
      <c r="E12" s="185" t="s">
        <v>21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43947.0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43948.0</v>
      </c>
      <c r="C14" s="183">
        <v>37000.0</v>
      </c>
      <c r="D14" s="184" t="s">
        <v>432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43948.0</v>
      </c>
      <c r="C15" s="183">
        <v>12150.0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43950.0</v>
      </c>
      <c r="C16" s="183">
        <v>21990.0</v>
      </c>
      <c r="D16" s="184" t="s">
        <v>23</v>
      </c>
      <c r="E16" s="185" t="s">
        <v>23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/>
      <c r="C17" s="183"/>
      <c r="D17" s="184" t="s">
        <v>437</v>
      </c>
      <c r="E17" s="185" t="s">
        <v>22</v>
      </c>
      <c r="F17" s="18"/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>
        <v>43950.0</v>
      </c>
      <c r="C19" s="183">
        <v>3500.0</v>
      </c>
      <c r="D19" s="184" t="s">
        <v>435</v>
      </c>
      <c r="E19" s="185" t="s">
        <v>414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5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D4:D33"/>
      <sortCondition ref="C4:C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914012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43866.0</v>
      </c>
      <c r="C5" s="173">
        <v>20000.0</v>
      </c>
      <c r="D5" s="174" t="s">
        <v>437</v>
      </c>
      <c r="E5" s="175" t="s">
        <v>22</v>
      </c>
      <c r="F5" s="18" t="s">
        <v>7</v>
      </c>
      <c r="G5" s="20"/>
      <c r="H5" s="172"/>
      <c r="I5" s="173">
        <f>SUMIF(F:F,"Pagado",C:C)</f>
        <v>914012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43891.0</v>
      </c>
      <c r="C6" s="183">
        <v>20000.0</v>
      </c>
      <c r="D6" s="184" t="s">
        <v>22</v>
      </c>
      <c r="E6" s="185" t="s">
        <v>22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43892.0</v>
      </c>
      <c r="C7" s="183">
        <v>5990.0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43892.0</v>
      </c>
      <c r="C8" s="183">
        <v>8990.0</v>
      </c>
      <c r="D8" s="184" t="s">
        <v>18</v>
      </c>
      <c r="E8" s="185" t="s">
        <v>18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43893.0</v>
      </c>
      <c r="C9" s="183">
        <v>10000.0</v>
      </c>
      <c r="D9" s="184" t="s">
        <v>413</v>
      </c>
      <c r="E9" s="185" t="s">
        <v>413</v>
      </c>
      <c r="F9" s="18" t="s">
        <v>7</v>
      </c>
      <c r="G9" s="18"/>
      <c r="H9" s="172"/>
      <c r="I9" s="173"/>
      <c r="J9" s="186"/>
      <c r="K9" s="185"/>
      <c r="L9" s="20"/>
      <c r="M9" s="190"/>
      <c r="N9" s="191"/>
      <c r="O9" s="190"/>
      <c r="P9" s="171"/>
      <c r="Q9" s="171"/>
    </row>
    <row r="10" ht="19.5" customHeight="1">
      <c r="A10" s="18"/>
      <c r="B10" s="172">
        <v>43894.0</v>
      </c>
      <c r="C10" s="183">
        <v>9970.0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43895.0</v>
      </c>
      <c r="C11" s="183">
        <v>56025.0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98"/>
      <c r="N11" s="199"/>
      <c r="O11" s="200"/>
      <c r="P11" s="171"/>
      <c r="Q11" s="171"/>
    </row>
    <row r="12" ht="19.5" customHeight="1">
      <c r="A12" s="18"/>
      <c r="B12" s="172">
        <v>43909.0</v>
      </c>
      <c r="C12" s="183">
        <v>6204.0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98"/>
      <c r="N12" s="201"/>
      <c r="O12" s="200"/>
      <c r="P12" s="171"/>
      <c r="Q12" s="171"/>
    </row>
    <row r="13" ht="19.5" customHeight="1">
      <c r="A13" s="18"/>
      <c r="B13" s="172">
        <v>43914.0</v>
      </c>
      <c r="C13" s="183">
        <v>110457.0</v>
      </c>
      <c r="D13" s="184" t="s">
        <v>21</v>
      </c>
      <c r="E13" s="185" t="s">
        <v>21</v>
      </c>
      <c r="F13" s="18" t="s">
        <v>7</v>
      </c>
      <c r="G13" s="18"/>
      <c r="H13" s="172"/>
      <c r="I13" s="173"/>
      <c r="J13" s="193"/>
      <c r="K13" s="194"/>
      <c r="L13" s="20"/>
      <c r="M13" s="198"/>
      <c r="N13" s="201"/>
      <c r="O13" s="200"/>
      <c r="P13" s="20"/>
      <c r="Q13" s="20"/>
    </row>
    <row r="14" ht="19.5" customHeight="1">
      <c r="A14" s="18"/>
      <c r="B14" s="172">
        <v>43915.0</v>
      </c>
      <c r="C14" s="183">
        <v>586380.0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98"/>
      <c r="N14" s="201"/>
      <c r="O14" s="200"/>
      <c r="P14" s="20"/>
      <c r="Q14" s="20"/>
    </row>
    <row r="15" ht="19.5" customHeight="1">
      <c r="A15" s="18"/>
      <c r="B15" s="172">
        <v>43916.0</v>
      </c>
      <c r="C15" s="183">
        <v>18004.0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198"/>
      <c r="N15" s="201"/>
      <c r="O15" s="200"/>
      <c r="P15" s="20"/>
      <c r="Q15" s="20"/>
    </row>
    <row r="16" ht="19.5" customHeight="1">
      <c r="A16" s="18"/>
      <c r="B16" s="172">
        <v>43916.0</v>
      </c>
      <c r="C16" s="183">
        <v>2860.0</v>
      </c>
      <c r="D16" s="184" t="s">
        <v>424</v>
      </c>
      <c r="E16" s="185" t="s">
        <v>26</v>
      </c>
      <c r="F16" s="18" t="s">
        <v>7</v>
      </c>
      <c r="G16" s="18"/>
      <c r="H16" s="172"/>
      <c r="I16" s="173"/>
      <c r="J16" s="186"/>
      <c r="K16" s="185"/>
      <c r="L16" s="20"/>
      <c r="M16" s="198"/>
      <c r="N16" s="201"/>
      <c r="O16" s="200"/>
      <c r="P16" s="20"/>
      <c r="Q16" s="20"/>
    </row>
    <row r="17" ht="19.5" customHeight="1">
      <c r="A17" s="18"/>
      <c r="B17" s="172">
        <v>43922.0</v>
      </c>
      <c r="C17" s="183">
        <v>21990.0</v>
      </c>
      <c r="D17" s="184" t="s">
        <v>23</v>
      </c>
      <c r="E17" s="185" t="s">
        <v>23</v>
      </c>
      <c r="F17" s="18" t="s">
        <v>7</v>
      </c>
      <c r="G17" s="18"/>
      <c r="H17" s="172"/>
      <c r="I17" s="173"/>
      <c r="J17" s="193"/>
      <c r="K17" s="194"/>
      <c r="L17" s="20"/>
      <c r="M17" s="198"/>
      <c r="N17" s="201"/>
      <c r="O17" s="203"/>
      <c r="P17" s="20"/>
      <c r="Q17" s="20"/>
    </row>
    <row r="18" ht="19.5" customHeight="1">
      <c r="A18" s="20"/>
      <c r="B18" s="172">
        <v>43922.0</v>
      </c>
      <c r="C18" s="183">
        <f>6571*COUNTIF(E:E,"Nana")</f>
        <v>13142</v>
      </c>
      <c r="D18" s="184" t="s">
        <v>435</v>
      </c>
      <c r="E18" s="185" t="s">
        <v>414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>
        <v>43906.0</v>
      </c>
      <c r="C19" s="183">
        <v>10000.0</v>
      </c>
      <c r="D19" s="184" t="s">
        <v>413</v>
      </c>
      <c r="E19" s="185" t="s">
        <v>413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>
        <v>43920.0</v>
      </c>
      <c r="C21" s="183">
        <v>14000.0</v>
      </c>
      <c r="D21" s="184" t="s">
        <v>112</v>
      </c>
      <c r="E21" s="185" t="s">
        <v>19</v>
      </c>
      <c r="F21" s="18" t="s">
        <v>7</v>
      </c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>
        <f>IFERROR(__xludf.DUMMYFUNCTION("GOOGLEFINANCE((""CURRENCY:USDCLP""))+1"),926.24)</f>
        <v>926.24</v>
      </c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836793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43862.0</v>
      </c>
      <c r="C5" s="173">
        <v>5990.0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836793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43862.0</v>
      </c>
      <c r="C6" s="183">
        <v>8990.0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43864.0</v>
      </c>
      <c r="C7" s="183">
        <v>20000.0</v>
      </c>
      <c r="D7" s="184" t="s">
        <v>22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43864.0</v>
      </c>
      <c r="C8" s="183">
        <v>20000.0</v>
      </c>
      <c r="D8" s="184" t="s">
        <v>413</v>
      </c>
      <c r="E8" s="185" t="s">
        <v>413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43877.0</v>
      </c>
      <c r="C9" s="183">
        <v>19765.0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217" t="s">
        <v>439</v>
      </c>
      <c r="N9" s="218" t="s">
        <v>440</v>
      </c>
      <c r="O9" s="217" t="s">
        <v>441</v>
      </c>
      <c r="P9" s="171"/>
      <c r="Q9" s="171"/>
    </row>
    <row r="10" ht="19.5" customHeight="1">
      <c r="A10" s="18"/>
      <c r="B10" s="172">
        <v>43878.0</v>
      </c>
      <c r="C10" s="183">
        <v>20000.0</v>
      </c>
      <c r="D10" s="184" t="s">
        <v>437</v>
      </c>
      <c r="E10" s="185" t="s">
        <v>22</v>
      </c>
      <c r="F10" s="18" t="s">
        <v>7</v>
      </c>
      <c r="G10" s="18"/>
      <c r="H10" s="172"/>
      <c r="I10" s="173"/>
      <c r="J10" s="193"/>
      <c r="K10" s="194"/>
      <c r="L10" s="20"/>
      <c r="M10" s="195"/>
      <c r="N10" s="196"/>
      <c r="O10" s="197"/>
      <c r="P10" s="171"/>
      <c r="Q10" s="171"/>
    </row>
    <row r="11" ht="19.5" customHeight="1">
      <c r="A11" s="18"/>
      <c r="B11" s="172">
        <v>43879.0</v>
      </c>
      <c r="C11" s="183">
        <v>5440.0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219" t="s">
        <v>442</v>
      </c>
      <c r="N11" s="220" t="s">
        <v>443</v>
      </c>
      <c r="O11" s="221">
        <v>0.4166666666666667</v>
      </c>
      <c r="P11" s="171"/>
      <c r="Q11" s="171"/>
    </row>
    <row r="12" ht="19.5" customHeight="1">
      <c r="A12" s="18"/>
      <c r="B12" s="172">
        <v>43881.0</v>
      </c>
      <c r="C12" s="183">
        <v>96394.0</v>
      </c>
      <c r="D12" s="184" t="s">
        <v>21</v>
      </c>
      <c r="E12" s="185" t="s">
        <v>21</v>
      </c>
      <c r="F12" s="18" t="s">
        <v>7</v>
      </c>
      <c r="G12" s="18"/>
      <c r="H12" s="172"/>
      <c r="I12" s="173"/>
      <c r="J12" s="193"/>
      <c r="K12" s="194"/>
      <c r="L12" s="20"/>
      <c r="M12" s="219" t="s">
        <v>444</v>
      </c>
      <c r="N12" s="222" t="s">
        <v>443</v>
      </c>
      <c r="O12" s="221">
        <v>0.4583333333333333</v>
      </c>
      <c r="P12" s="171"/>
      <c r="Q12" s="171"/>
    </row>
    <row r="13" ht="19.5" customHeight="1">
      <c r="A13" s="18"/>
      <c r="B13" s="172">
        <v>43890.0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219" t="s">
        <v>445</v>
      </c>
      <c r="N13" s="222" t="s">
        <v>443</v>
      </c>
      <c r="O13" s="221">
        <v>0.5</v>
      </c>
      <c r="P13" s="20"/>
      <c r="Q13" s="20"/>
    </row>
    <row r="14" ht="19.5" customHeight="1">
      <c r="A14" s="18"/>
      <c r="B14" s="172">
        <v>43890.0</v>
      </c>
      <c r="C14" s="183">
        <v>18702.0</v>
      </c>
      <c r="D14" s="184" t="s">
        <v>24</v>
      </c>
      <c r="E14" s="185" t="s">
        <v>24</v>
      </c>
      <c r="F14" s="18" t="s">
        <v>7</v>
      </c>
      <c r="G14" s="18"/>
      <c r="H14" s="172"/>
      <c r="I14" s="173"/>
      <c r="J14" s="193"/>
      <c r="K14" s="194"/>
      <c r="L14" s="20"/>
      <c r="M14" s="219" t="s">
        <v>446</v>
      </c>
      <c r="N14" s="222" t="s">
        <v>443</v>
      </c>
      <c r="O14" s="221">
        <v>0.5833333333333334</v>
      </c>
      <c r="P14" s="20"/>
      <c r="Q14" s="20"/>
    </row>
    <row r="15" ht="19.5" customHeight="1">
      <c r="A15" s="18"/>
      <c r="B15" s="172"/>
      <c r="C15" s="183">
        <v>1348.0</v>
      </c>
      <c r="D15" s="184" t="s">
        <v>424</v>
      </c>
      <c r="E15" s="185" t="s">
        <v>26</v>
      </c>
      <c r="F15" s="18"/>
      <c r="G15" s="18"/>
      <c r="H15" s="172"/>
      <c r="I15" s="173"/>
      <c r="J15" s="193"/>
      <c r="K15" s="194"/>
      <c r="L15" s="20"/>
      <c r="M15" s="219" t="s">
        <v>447</v>
      </c>
      <c r="N15" s="222" t="s">
        <v>443</v>
      </c>
      <c r="O15" s="221">
        <v>0.625</v>
      </c>
      <c r="P15" s="20"/>
      <c r="Q15" s="20"/>
    </row>
    <row r="16" ht="19.5" customHeight="1">
      <c r="A16" s="18"/>
      <c r="B16" s="172">
        <v>43890.0</v>
      </c>
      <c r="C16" s="183">
        <v>21990.0</v>
      </c>
      <c r="D16" s="184" t="s">
        <v>23</v>
      </c>
      <c r="E16" s="185" t="s">
        <v>23</v>
      </c>
      <c r="F16" s="18" t="s">
        <v>7</v>
      </c>
      <c r="G16" s="18"/>
      <c r="H16" s="172"/>
      <c r="I16" s="173"/>
      <c r="J16" s="186"/>
      <c r="K16" s="185"/>
      <c r="L16" s="20"/>
      <c r="M16" s="219" t="s">
        <v>448</v>
      </c>
      <c r="N16" s="222" t="s">
        <v>443</v>
      </c>
      <c r="O16" s="221">
        <v>0.6666666666666666</v>
      </c>
      <c r="P16" s="20"/>
      <c r="Q16" s="20"/>
    </row>
    <row r="17" ht="19.5" customHeight="1">
      <c r="A17" s="18"/>
      <c r="B17" s="172">
        <v>43888.0</v>
      </c>
      <c r="C17" s="183">
        <f>6571*COUNTIF(E:E,"Nana")</f>
        <v>13142</v>
      </c>
      <c r="D17" s="184" t="s">
        <v>435</v>
      </c>
      <c r="E17" s="185" t="s">
        <v>414</v>
      </c>
      <c r="F17" s="18" t="s">
        <v>7</v>
      </c>
      <c r="G17" s="18"/>
      <c r="H17" s="172"/>
      <c r="I17" s="173"/>
      <c r="J17" s="193"/>
      <c r="K17" s="194"/>
      <c r="L17" s="20"/>
      <c r="M17" s="219" t="s">
        <v>449</v>
      </c>
      <c r="N17" s="222" t="s">
        <v>450</v>
      </c>
      <c r="O17" s="223" t="s">
        <v>451</v>
      </c>
      <c r="P17" s="20"/>
      <c r="Q17" s="20"/>
    </row>
    <row r="18" ht="19.5" customHeight="1">
      <c r="A18" s="20"/>
      <c r="B18" s="172"/>
      <c r="C18" s="183"/>
      <c r="D18" s="184" t="s">
        <v>434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193593.6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43831.0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193593.6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43831.0</v>
      </c>
      <c r="C6" s="183">
        <f>12.14*740</f>
        <v>8983.6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43836.0</v>
      </c>
      <c r="C7" s="183">
        <v>20000.0</v>
      </c>
      <c r="D7" s="184" t="s">
        <v>22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43843.0</v>
      </c>
      <c r="C8" s="183">
        <v>4860.0</v>
      </c>
      <c r="D8" s="184" t="s">
        <v>25</v>
      </c>
      <c r="E8" s="185" t="s">
        <v>25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43850.0</v>
      </c>
      <c r="C9" s="183">
        <v>30000.0</v>
      </c>
      <c r="D9" s="184" t="s">
        <v>437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43850.0</v>
      </c>
      <c r="C10" s="183">
        <v>124389.0</v>
      </c>
      <c r="D10" s="184" t="s">
        <v>21</v>
      </c>
      <c r="E10" s="185" t="s">
        <v>21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/>
      <c r="C11" s="183">
        <v>1348.0</v>
      </c>
      <c r="D11" s="184" t="s">
        <v>424</v>
      </c>
      <c r="E11" s="185" t="s">
        <v>26</v>
      </c>
      <c r="F11" s="18"/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/>
      <c r="C12" s="183">
        <v>67268.0</v>
      </c>
      <c r="D12" s="184" t="s">
        <v>433</v>
      </c>
      <c r="E12" s="185" t="s">
        <v>19</v>
      </c>
      <c r="F12" s="18"/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/>
      <c r="C13" s="183">
        <v>38000.0</v>
      </c>
      <c r="D13" s="184" t="s">
        <v>434</v>
      </c>
      <c r="E13" s="185" t="s">
        <v>19</v>
      </c>
      <c r="F13" s="18"/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/>
      <c r="C14" s="183">
        <v>11963.0</v>
      </c>
      <c r="D14" s="184" t="s">
        <v>24</v>
      </c>
      <c r="E14" s="185" t="s">
        <v>24</v>
      </c>
      <c r="F14" s="18"/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/>
      <c r="C15" s="183">
        <v>586380.0</v>
      </c>
      <c r="D15" s="184" t="s">
        <v>20</v>
      </c>
      <c r="E15" s="185" t="s">
        <v>20</v>
      </c>
      <c r="F15" s="18"/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/>
      <c r="C16" s="183">
        <v>20000.0</v>
      </c>
      <c r="D16" s="184" t="s">
        <v>413</v>
      </c>
      <c r="E16" s="185" t="s">
        <v>413</v>
      </c>
      <c r="F16" s="18"/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/>
      <c r="C17" s="183">
        <f>6571*COUNTIF(E:E,"Nana")</f>
        <v>13142</v>
      </c>
      <c r="D17" s="184" t="s">
        <v>435</v>
      </c>
      <c r="E17" s="185" t="s">
        <v>414</v>
      </c>
      <c r="F17" s="18"/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>
        <v>21990.0</v>
      </c>
      <c r="D18" s="184" t="s">
        <v>23</v>
      </c>
      <c r="E18" s="185" t="s">
        <v>23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905580.6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43800.0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905580.6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43800.0</v>
      </c>
      <c r="C6" s="183">
        <f>12.14*740</f>
        <v>8983.6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43804.0</v>
      </c>
      <c r="C7" s="183">
        <v>1348.0</v>
      </c>
      <c r="D7" s="184" t="s">
        <v>424</v>
      </c>
      <c r="E7" s="185" t="s">
        <v>26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43806.0</v>
      </c>
      <c r="C8" s="183">
        <v>67268.0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43808.0</v>
      </c>
      <c r="C9" s="183">
        <v>20000.0</v>
      </c>
      <c r="D9" s="184" t="s">
        <v>22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43809.0</v>
      </c>
      <c r="C10" s="183">
        <v>6020.0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43816.0</v>
      </c>
      <c r="C11" s="183">
        <v>38000.0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43820.0</v>
      </c>
      <c r="C12" s="183">
        <v>20000.0</v>
      </c>
      <c r="D12" s="184" t="s">
        <v>437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43823.0</v>
      </c>
      <c r="C13" s="183">
        <v>7089.0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43823.0</v>
      </c>
      <c r="C14" s="183">
        <v>111989.0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43823.0</v>
      </c>
      <c r="C15" s="183">
        <v>586380.0</v>
      </c>
      <c r="D15" s="184" t="s">
        <v>20</v>
      </c>
      <c r="E15" s="185" t="s">
        <v>20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43820.0</v>
      </c>
      <c r="C16" s="183">
        <v>20000.0</v>
      </c>
      <c r="D16" s="184" t="s">
        <v>413</v>
      </c>
      <c r="E16" s="185" t="s">
        <v>413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43824.0</v>
      </c>
      <c r="C17" s="183">
        <f>6571*COUNTIF(E:E,"Nana")</f>
        <v>13142</v>
      </c>
      <c r="D17" s="184" t="s">
        <v>435</v>
      </c>
      <c r="E17" s="185" t="s">
        <v>414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 t="s">
        <v>23</v>
      </c>
      <c r="E18" s="185" t="s">
        <v>23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432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452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453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 t="s">
        <v>413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853542.6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43770.0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853542.6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43770.0</v>
      </c>
      <c r="C6" s="183">
        <f>12.14*740</f>
        <v>8983.6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43779.0</v>
      </c>
      <c r="C7" s="183">
        <v>4530.0</v>
      </c>
      <c r="D7" s="184" t="s">
        <v>25</v>
      </c>
      <c r="E7" s="185" t="s">
        <v>25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43780.0</v>
      </c>
      <c r="C8" s="183">
        <v>20000.0</v>
      </c>
      <c r="D8" s="184" t="s">
        <v>22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43780.0</v>
      </c>
      <c r="C9" s="183">
        <v>20000.0</v>
      </c>
      <c r="D9" s="184" t="s">
        <v>413</v>
      </c>
      <c r="E9" s="185" t="s">
        <v>413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43789.0</v>
      </c>
      <c r="C10" s="183">
        <v>20930.0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43792.0</v>
      </c>
      <c r="C11" s="183">
        <v>16400.0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43794.0</v>
      </c>
      <c r="C12" s="183">
        <v>20000.0</v>
      </c>
      <c r="D12" s="184" t="s">
        <v>437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43797.0</v>
      </c>
      <c r="C13" s="183">
        <v>8668.0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/>
      <c r="C14" s="183">
        <f>6571*COUNTIF(E:E,"Nana")</f>
        <v>13142</v>
      </c>
      <c r="D14" s="184" t="s">
        <v>435</v>
      </c>
      <c r="E14" s="185" t="s">
        <v>414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/>
      <c r="C15" s="183">
        <v>21990.0</v>
      </c>
      <c r="D15" s="184" t="s">
        <v>23</v>
      </c>
      <c r="E15" s="185" t="s">
        <v>23</v>
      </c>
      <c r="F15" s="18"/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43794.0</v>
      </c>
      <c r="C16" s="183">
        <v>129148.0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43794.0</v>
      </c>
      <c r="C17" s="183">
        <v>586380.0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432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452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453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 t="s">
        <v>413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939254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43739.0</v>
      </c>
      <c r="C5" s="173">
        <v>7390.0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939254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43739.0</v>
      </c>
      <c r="C6" s="183">
        <v>5361.0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43746.0</v>
      </c>
      <c r="C7" s="183">
        <v>1390.0</v>
      </c>
      <c r="D7" s="184" t="s">
        <v>424</v>
      </c>
      <c r="E7" s="185" t="s">
        <v>26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43746.0</v>
      </c>
      <c r="C8" s="183">
        <v>20000.0</v>
      </c>
      <c r="D8" s="184" t="s">
        <v>413</v>
      </c>
      <c r="E8" s="185" t="s">
        <v>413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43746.0</v>
      </c>
      <c r="C9" s="183">
        <v>25990.0</v>
      </c>
      <c r="D9" s="184" t="s">
        <v>454</v>
      </c>
      <c r="E9" s="185" t="s">
        <v>454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43750.0</v>
      </c>
      <c r="C10" s="183">
        <v>20000.0</v>
      </c>
      <c r="D10" s="184" t="s">
        <v>22</v>
      </c>
      <c r="E10" s="185" t="s">
        <v>22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43762.0</v>
      </c>
      <c r="C11" s="183">
        <v>5610.0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43763.0</v>
      </c>
      <c r="C12" s="183">
        <v>8434.0</v>
      </c>
      <c r="D12" s="184" t="s">
        <v>24</v>
      </c>
      <c r="E12" s="185" t="s">
        <v>24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43765.0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43765.0</v>
      </c>
      <c r="C14" s="183">
        <v>192128.0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43766.0</v>
      </c>
      <c r="C15" s="183">
        <f>6571*COUNTIF(E:E,"Nana")</f>
        <v>6571</v>
      </c>
      <c r="D15" s="184" t="s">
        <v>435</v>
      </c>
      <c r="E15" s="185" t="s">
        <v>414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/>
      <c r="C16" s="183">
        <v>60000.0</v>
      </c>
      <c r="D16" s="184" t="s">
        <v>433</v>
      </c>
      <c r="E16" s="185" t="s">
        <v>19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/>
      <c r="C17" s="183"/>
      <c r="D17" s="184" t="s">
        <v>434</v>
      </c>
      <c r="E17" s="185" t="s">
        <v>19</v>
      </c>
      <c r="F17" s="18"/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 t="s">
        <v>432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452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453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413</v>
      </c>
      <c r="E21" s="185" t="s">
        <v>413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D4:D33"/>
      <sortCondition ref="C4:C33"/>
      <sortCondition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940383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43709.0</v>
      </c>
      <c r="C5" s="173">
        <v>7390.0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940383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43709.0</v>
      </c>
      <c r="C6" s="183">
        <v>20000.0</v>
      </c>
      <c r="D6" s="184" t="s">
        <v>413</v>
      </c>
      <c r="E6" s="185" t="s">
        <v>413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43709.0</v>
      </c>
      <c r="C7" s="183">
        <v>5361.0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43710.0</v>
      </c>
      <c r="C8" s="183">
        <v>20000.0</v>
      </c>
      <c r="D8" s="184" t="s">
        <v>455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43710.0</v>
      </c>
      <c r="C9" s="183">
        <v>45000.0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43713.0</v>
      </c>
      <c r="C10" s="183">
        <v>25990.0</v>
      </c>
      <c r="D10" s="184" t="s">
        <v>454</v>
      </c>
      <c r="E10" s="185" t="s">
        <v>454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43724.0</v>
      </c>
      <c r="C11" s="183">
        <v>20000.0</v>
      </c>
      <c r="D11" s="184" t="s">
        <v>22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43725.0</v>
      </c>
      <c r="C12" s="183">
        <v>6640.0</v>
      </c>
      <c r="D12" s="184" t="s">
        <v>25</v>
      </c>
      <c r="E12" s="185" t="s">
        <v>25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43732.0</v>
      </c>
      <c r="C13" s="183">
        <v>586380.0</v>
      </c>
      <c r="D13" s="184" t="s">
        <v>20</v>
      </c>
      <c r="E13" s="185" t="s">
        <v>20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43734.0</v>
      </c>
      <c r="C14" s="183">
        <v>137822.0</v>
      </c>
      <c r="D14" s="184" t="s">
        <v>21</v>
      </c>
      <c r="E14" s="185" t="s">
        <v>21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43736.0</v>
      </c>
      <c r="C15" s="183">
        <v>10800.0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43736.0</v>
      </c>
      <c r="C16" s="183">
        <v>35000.0</v>
      </c>
      <c r="D16" s="184" t="s">
        <v>432</v>
      </c>
      <c r="E16" s="185" t="s">
        <v>19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43738.0</v>
      </c>
      <c r="C17" s="183">
        <v>20000.0</v>
      </c>
      <c r="D17" s="184" t="s">
        <v>425</v>
      </c>
      <c r="E17" s="185" t="s">
        <v>22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 t="s">
        <v>424</v>
      </c>
      <c r="E18" s="185" t="s">
        <v>26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413</v>
      </c>
      <c r="E19" s="185" t="s">
        <v>413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f>0.3021875*SUMIF(E:E,"Nana",C:C)</f>
        <v>18131.25</v>
      </c>
      <c r="D20" s="184" t="s">
        <v>435</v>
      </c>
      <c r="E20" s="185" t="s">
        <v>414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434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452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 t="s">
        <v>453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968755.25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43678.0</v>
      </c>
      <c r="C5" s="173">
        <v>7390.0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968755.25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43678.0</v>
      </c>
      <c r="C6" s="183">
        <v>10000.0</v>
      </c>
      <c r="D6" s="184" t="s">
        <v>413</v>
      </c>
      <c r="E6" s="185" t="s">
        <v>413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43678.0</v>
      </c>
      <c r="C7" s="183">
        <v>20000.0</v>
      </c>
      <c r="D7" s="184" t="s">
        <v>455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43680.0</v>
      </c>
      <c r="C8" s="183">
        <v>45000.0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43681.0</v>
      </c>
      <c r="C9" s="183">
        <v>25990.0</v>
      </c>
      <c r="D9" s="184" t="s">
        <v>454</v>
      </c>
      <c r="E9" s="185" t="s">
        <v>454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43681.0</v>
      </c>
      <c r="C10" s="183">
        <v>1376.0</v>
      </c>
      <c r="D10" s="184" t="s">
        <v>424</v>
      </c>
      <c r="E10" s="185" t="s">
        <v>26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43682.0</v>
      </c>
      <c r="C11" s="183">
        <v>5361.0</v>
      </c>
      <c r="D11" s="184" t="s">
        <v>15</v>
      </c>
      <c r="E11" s="185" t="s">
        <v>15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43689.0</v>
      </c>
      <c r="C12" s="183">
        <v>10000.0</v>
      </c>
      <c r="D12" s="184" t="s">
        <v>413</v>
      </c>
      <c r="E12" s="185" t="s">
        <v>413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43696.0</v>
      </c>
      <c r="C13" s="183">
        <v>20000.0</v>
      </c>
      <c r="D13" s="184" t="s">
        <v>22</v>
      </c>
      <c r="E13" s="185" t="s">
        <v>22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43697.0</v>
      </c>
      <c r="C14" s="183">
        <f>10170-5450</f>
        <v>4720</v>
      </c>
      <c r="D14" s="184" t="s">
        <v>25</v>
      </c>
      <c r="E14" s="185" t="s">
        <v>25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43697.0</v>
      </c>
      <c r="C15" s="183">
        <v>10000.0</v>
      </c>
      <c r="D15" s="184" t="s">
        <v>413</v>
      </c>
      <c r="E15" s="185" t="s">
        <v>413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43700.0</v>
      </c>
      <c r="C16" s="183">
        <v>174538.0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43702.0</v>
      </c>
      <c r="C17" s="183">
        <v>586380.0</v>
      </c>
      <c r="D17" s="184" t="s">
        <v>20</v>
      </c>
      <c r="E17" s="185" t="s">
        <v>20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43703.0</v>
      </c>
      <c r="C18" s="183">
        <v>9869.0</v>
      </c>
      <c r="D18" s="184" t="s">
        <v>24</v>
      </c>
      <c r="E18" s="185" t="s">
        <v>24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>
        <f>0.3021875*SUMIF(E:E,"Nana",C:C)</f>
        <v>18131.25</v>
      </c>
      <c r="D19" s="184" t="s">
        <v>435</v>
      </c>
      <c r="E19" s="185" t="s">
        <v>414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v>20000.0</v>
      </c>
      <c r="D20" s="184" t="s">
        <v>22</v>
      </c>
      <c r="E20" s="185" t="s">
        <v>22</v>
      </c>
      <c r="F20" s="18" t="s">
        <v>7</v>
      </c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434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452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 t="s">
        <v>453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F4:F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951001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43647.0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951001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43647.0</v>
      </c>
      <c r="C6" s="183">
        <v>7390.0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43649.0</v>
      </c>
      <c r="C7" s="183">
        <v>25990.0</v>
      </c>
      <c r="D7" s="184" t="s">
        <v>454</v>
      </c>
      <c r="E7" s="185" t="s">
        <v>454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43650.0</v>
      </c>
      <c r="C8" s="183">
        <v>10000.0</v>
      </c>
      <c r="D8" s="184" t="s">
        <v>413</v>
      </c>
      <c r="E8" s="185" t="s">
        <v>413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43651.0</v>
      </c>
      <c r="C9" s="183">
        <v>20000.0</v>
      </c>
      <c r="D9" s="184" t="s">
        <v>455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43653.0</v>
      </c>
      <c r="C10" s="183">
        <v>27310.0</v>
      </c>
      <c r="D10" s="184" t="s">
        <v>433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43658.0</v>
      </c>
      <c r="C11" s="183">
        <v>36510.0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43663.0</v>
      </c>
      <c r="C12" s="183">
        <v>20000.0</v>
      </c>
      <c r="D12" s="184" t="s">
        <v>22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43664.0</v>
      </c>
      <c r="C13" s="183">
        <v>10000.0</v>
      </c>
      <c r="D13" s="184" t="s">
        <v>413</v>
      </c>
      <c r="E13" s="185" t="s">
        <v>413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43667.0</v>
      </c>
      <c r="C14" s="183">
        <v>31696.0</v>
      </c>
      <c r="D14" s="184" t="s">
        <v>432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43670.0</v>
      </c>
      <c r="C15" s="183">
        <v>5450.0</v>
      </c>
      <c r="D15" s="184" t="s">
        <v>25</v>
      </c>
      <c r="E15" s="185" t="s">
        <v>25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43670.0</v>
      </c>
      <c r="C16" s="183">
        <v>157201.0</v>
      </c>
      <c r="D16" s="184" t="s">
        <v>21</v>
      </c>
      <c r="E16" s="185" t="s">
        <v>21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/>
      <c r="C17" s="183">
        <f>0.3021875*SUMIF(E:E,"Nana",C:C)</f>
        <v>12087.5</v>
      </c>
      <c r="D17" s="184" t="s">
        <v>435</v>
      </c>
      <c r="E17" s="185" t="s">
        <v>414</v>
      </c>
      <c r="F17" s="18"/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>
        <v>586380.0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452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453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424</v>
      </c>
      <c r="E21" s="185" t="s">
        <v>26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>
        <v>43670.0</v>
      </c>
      <c r="C22" s="183">
        <v>7713.0</v>
      </c>
      <c r="D22" s="184" t="s">
        <v>24</v>
      </c>
      <c r="E22" s="185" t="s">
        <v>24</v>
      </c>
      <c r="F22" s="18" t="s">
        <v>7</v>
      </c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106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F4:F33"/>
      <sortCondition ref="C4:C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965301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43619.0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965301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43619.0</v>
      </c>
      <c r="C6" s="183">
        <v>7390.0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43620.0</v>
      </c>
      <c r="C7" s="183">
        <v>25990.0</v>
      </c>
      <c r="D7" s="184" t="s">
        <v>454</v>
      </c>
      <c r="E7" s="185" t="s">
        <v>454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43630.0</v>
      </c>
      <c r="C8" s="183">
        <v>20000.0</v>
      </c>
      <c r="D8" s="184" t="s">
        <v>455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43630.0</v>
      </c>
      <c r="C9" s="183">
        <v>74585.0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43633.0</v>
      </c>
      <c r="C10" s="183">
        <v>5320.0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43633.0</v>
      </c>
      <c r="C11" s="183">
        <v>10000.0</v>
      </c>
      <c r="D11" s="184" t="s">
        <v>413</v>
      </c>
      <c r="E11" s="185" t="s">
        <v>413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43641.0</v>
      </c>
      <c r="C12" s="183">
        <v>126159.0</v>
      </c>
      <c r="D12" s="184" t="s">
        <v>21</v>
      </c>
      <c r="E12" s="185" t="s">
        <v>21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43641.0</v>
      </c>
      <c r="C13" s="183">
        <v>9116.0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43642.0</v>
      </c>
      <c r="C14" s="183">
        <v>586380.0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43644.0</v>
      </c>
      <c r="C15" s="183">
        <v>75000.0</v>
      </c>
      <c r="D15" s="184" t="s">
        <v>434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43646.0</v>
      </c>
      <c r="C16" s="183">
        <v>20000.0</v>
      </c>
      <c r="D16" s="184" t="s">
        <v>437</v>
      </c>
      <c r="E16" s="185" t="s">
        <v>22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/>
      <c r="C17" s="183"/>
      <c r="D17" s="184" t="s">
        <v>435</v>
      </c>
      <c r="E17" s="185" t="s">
        <v>414</v>
      </c>
      <c r="F17" s="18"/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 t="s">
        <v>432</v>
      </c>
      <c r="E18" s="185" t="s">
        <v>19</v>
      </c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452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453</v>
      </c>
      <c r="E20" s="185" t="s">
        <v>19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424</v>
      </c>
      <c r="E21" s="185" t="s">
        <v>26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456</v>
      </c>
      <c r="E22" s="185" t="s">
        <v>27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106"/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ref="D4:D33"/>
      <sortCondition descending="1" ref="F4:F33"/>
      <sortCondition ref="E4:E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2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929282.75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43586.0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SUMIF(F:F,"Pagado",C:C)</f>
        <v>929282.75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43586.0</v>
      </c>
      <c r="C6" s="183">
        <v>7390.0</v>
      </c>
      <c r="D6" s="184" t="s">
        <v>18</v>
      </c>
      <c r="E6" s="185" t="s">
        <v>18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43592.0</v>
      </c>
      <c r="C7" s="183">
        <v>11640.0</v>
      </c>
      <c r="D7" s="184" t="s">
        <v>454</v>
      </c>
      <c r="E7" s="185" t="s">
        <v>454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43597.0</v>
      </c>
      <c r="C8" s="183">
        <v>25000.0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43602.0</v>
      </c>
      <c r="C9" s="183">
        <v>20000.0</v>
      </c>
      <c r="D9" s="184" t="s">
        <v>455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43605.0</v>
      </c>
      <c r="C10" s="183">
        <v>4790.0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43609.0</v>
      </c>
      <c r="C11" s="183">
        <v>141000.0</v>
      </c>
      <c r="D11" s="184" t="s">
        <v>21</v>
      </c>
      <c r="E11" s="185" t="s">
        <v>21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43609.0</v>
      </c>
      <c r="C12" s="183">
        <v>60000.0</v>
      </c>
      <c r="D12" s="184" t="s">
        <v>434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43612.0</v>
      </c>
      <c r="C13" s="183">
        <v>10000.0</v>
      </c>
      <c r="D13" s="184" t="s">
        <v>413</v>
      </c>
      <c r="E13" s="185" t="s">
        <v>413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43612.0</v>
      </c>
      <c r="C14" s="183">
        <v>20000.0</v>
      </c>
      <c r="D14" s="184" t="s">
        <v>457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43612.0</v>
      </c>
      <c r="C15" s="183">
        <f>0.3021875*20000</f>
        <v>6043.75</v>
      </c>
      <c r="D15" s="214" t="s">
        <v>458</v>
      </c>
      <c r="E15" s="185" t="s">
        <v>414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43613.0</v>
      </c>
      <c r="C16" s="183">
        <v>586380.0</v>
      </c>
      <c r="D16" s="184" t="s">
        <v>20</v>
      </c>
      <c r="E16" s="185" t="s">
        <v>20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43613.0</v>
      </c>
      <c r="C17" s="183">
        <v>11678.0</v>
      </c>
      <c r="D17" s="184" t="s">
        <v>24</v>
      </c>
      <c r="E17" s="185" t="s">
        <v>24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43615.0</v>
      </c>
      <c r="C18" s="183">
        <v>20000.0</v>
      </c>
      <c r="D18" s="184" t="s">
        <v>459</v>
      </c>
      <c r="E18" s="185" t="s">
        <v>22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424</v>
      </c>
      <c r="E19" s="185" t="s">
        <v>26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f>0.3021875*SUMIF(E:E,"Nana",C:C)</f>
        <v>18131.25</v>
      </c>
      <c r="D20" s="184" t="s">
        <v>435</v>
      </c>
      <c r="E20" s="185" t="s">
        <v>414</v>
      </c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456</v>
      </c>
      <c r="E21" s="185" t="s">
        <v>27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432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204" t="s">
        <v>452</v>
      </c>
      <c r="E23" s="185" t="s">
        <v>19</v>
      </c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 t="s">
        <v>453</v>
      </c>
      <c r="E24" s="185" t="s">
        <v>19</v>
      </c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ref="C4:C33"/>
      <sortCondition descending="1" ref="F4:F33"/>
      <sortCondition ref="E4:E33"/>
      <sortCondition ref="D4:D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O2" s="159"/>
      <c r="P2" s="159"/>
      <c r="Q2" s="159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162" t="s">
        <v>417</v>
      </c>
      <c r="N3" s="163">
        <f>SUMIF(F:F,"Pagado",C:C)</f>
        <v>958966</v>
      </c>
      <c r="O3" s="164"/>
      <c r="P3" s="165"/>
      <c r="Q3" s="164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73" t="s">
        <v>17</v>
      </c>
      <c r="N4" s="169">
        <f>SUMIF(F5:F33,"Por pagar",C5:C33)</f>
        <v>0</v>
      </c>
      <c r="O4" s="170"/>
      <c r="P4" s="170"/>
      <c r="Q4" s="171"/>
    </row>
    <row r="5" ht="19.5" customHeight="1">
      <c r="A5" s="18"/>
      <c r="B5" s="172">
        <v>43556.0</v>
      </c>
      <c r="C5" s="173">
        <v>7390.0</v>
      </c>
      <c r="D5" s="174" t="s">
        <v>18</v>
      </c>
      <c r="E5" s="175" t="s">
        <v>18</v>
      </c>
      <c r="F5" s="18" t="s">
        <v>7</v>
      </c>
      <c r="G5" s="20"/>
      <c r="H5" s="172"/>
      <c r="I5" s="173">
        <f>SUMIF(F:F,"Pagado",C:C)</f>
        <v>958966</v>
      </c>
      <c r="J5" s="176" t="s">
        <v>16</v>
      </c>
      <c r="K5" s="175" t="s">
        <v>16</v>
      </c>
      <c r="L5" s="18"/>
      <c r="M5" s="177"/>
      <c r="N5" s="178"/>
      <c r="O5" s="179"/>
      <c r="P5" s="180"/>
      <c r="Q5" s="181">
        <f>P5-O6</f>
        <v>0</v>
      </c>
    </row>
    <row r="6" ht="19.5" customHeight="1">
      <c r="A6" s="18"/>
      <c r="B6" s="172">
        <v>43556.0</v>
      </c>
      <c r="C6" s="183">
        <v>5361.0</v>
      </c>
      <c r="D6" s="184" t="s">
        <v>15</v>
      </c>
      <c r="E6" s="185" t="s">
        <v>15</v>
      </c>
      <c r="F6" s="18" t="s">
        <v>7</v>
      </c>
      <c r="G6" s="18"/>
      <c r="H6" s="172"/>
      <c r="I6" s="173"/>
      <c r="J6" s="186"/>
      <c r="K6" s="185"/>
      <c r="L6" s="18"/>
      <c r="M6" s="177"/>
      <c r="N6" s="187"/>
      <c r="O6" s="188"/>
      <c r="P6" s="189"/>
      <c r="Q6" s="177"/>
    </row>
    <row r="7" ht="19.5" customHeight="1">
      <c r="A7" s="18"/>
      <c r="B7" s="172">
        <v>43560.0</v>
      </c>
      <c r="C7" s="183">
        <v>29239.0</v>
      </c>
      <c r="D7" s="184" t="s">
        <v>433</v>
      </c>
      <c r="E7" s="185" t="s">
        <v>19</v>
      </c>
      <c r="F7" s="18" t="s">
        <v>7</v>
      </c>
      <c r="G7" s="18"/>
      <c r="H7" s="172"/>
      <c r="I7" s="173"/>
      <c r="J7" s="186"/>
      <c r="K7" s="185"/>
      <c r="L7" s="18"/>
      <c r="M7" s="177"/>
      <c r="N7" s="177"/>
      <c r="O7" s="165"/>
      <c r="P7" s="177"/>
      <c r="Q7" s="177"/>
    </row>
    <row r="8" ht="19.5" customHeight="1">
      <c r="A8" s="18"/>
      <c r="B8" s="172">
        <v>43564.0</v>
      </c>
      <c r="C8" s="183">
        <v>45574.0</v>
      </c>
      <c r="D8" s="184" t="s">
        <v>454</v>
      </c>
      <c r="E8" s="185" t="s">
        <v>454</v>
      </c>
      <c r="F8" s="18" t="s">
        <v>7</v>
      </c>
      <c r="G8" s="18"/>
      <c r="H8" s="172"/>
      <c r="I8" s="173"/>
      <c r="J8" s="186"/>
      <c r="K8" s="185"/>
      <c r="L8" s="20"/>
      <c r="M8" s="171"/>
      <c r="N8" s="171"/>
      <c r="O8" s="171"/>
      <c r="P8" s="171"/>
      <c r="Q8" s="171"/>
    </row>
    <row r="9" ht="19.5" customHeight="1">
      <c r="A9" s="18"/>
      <c r="B9" s="172">
        <v>43565.0</v>
      </c>
      <c r="C9" s="183">
        <v>2686.0</v>
      </c>
      <c r="D9" s="184" t="s">
        <v>424</v>
      </c>
      <c r="E9" s="185" t="s">
        <v>26</v>
      </c>
      <c r="F9" s="18" t="s">
        <v>7</v>
      </c>
      <c r="G9" s="18"/>
      <c r="H9" s="172"/>
      <c r="I9" s="173"/>
      <c r="J9" s="186"/>
      <c r="K9" s="185"/>
      <c r="L9" s="20"/>
      <c r="M9" s="171"/>
      <c r="N9" s="224"/>
      <c r="O9" s="225"/>
      <c r="P9" s="171"/>
      <c r="Q9" s="171"/>
    </row>
    <row r="10" ht="19.5" customHeight="1">
      <c r="A10" s="18"/>
      <c r="B10" s="172">
        <v>43565.0</v>
      </c>
      <c r="C10" s="183">
        <v>7760.0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171"/>
      <c r="N10" s="224"/>
      <c r="O10" s="225"/>
      <c r="P10" s="171"/>
      <c r="Q10" s="171"/>
    </row>
    <row r="11" ht="19.5" customHeight="1">
      <c r="A11" s="18"/>
      <c r="B11" s="172">
        <v>43565.0</v>
      </c>
      <c r="C11" s="183">
        <v>7070.0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171"/>
      <c r="N11" s="226"/>
      <c r="O11" s="227"/>
      <c r="P11" s="171"/>
      <c r="Q11" s="171"/>
    </row>
    <row r="12" ht="19.5" customHeight="1">
      <c r="A12" s="18"/>
      <c r="B12" s="172">
        <v>43572.0</v>
      </c>
      <c r="C12" s="183">
        <v>30000.0</v>
      </c>
      <c r="D12" s="184" t="s">
        <v>455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177"/>
      <c r="N12" s="171"/>
      <c r="O12" s="171"/>
      <c r="P12" s="171"/>
      <c r="Q12" s="171"/>
    </row>
    <row r="13" ht="19.5" customHeight="1">
      <c r="A13" s="18"/>
      <c r="B13" s="172">
        <v>43581.0</v>
      </c>
      <c r="C13" s="183">
        <v>8331.0</v>
      </c>
      <c r="D13" s="184" t="s">
        <v>24</v>
      </c>
      <c r="E13" s="185" t="s">
        <v>24</v>
      </c>
      <c r="F13" s="18" t="s">
        <v>7</v>
      </c>
      <c r="G13" s="18"/>
      <c r="H13" s="172"/>
      <c r="I13" s="173"/>
      <c r="J13" s="193"/>
      <c r="K13" s="194"/>
      <c r="L13" s="20"/>
      <c r="M13" s="18"/>
      <c r="N13" s="20"/>
      <c r="O13" s="20"/>
      <c r="P13" s="20"/>
      <c r="Q13" s="20"/>
    </row>
    <row r="14" ht="19.5" customHeight="1">
      <c r="A14" s="18"/>
      <c r="B14" s="172">
        <v>43584.0</v>
      </c>
      <c r="C14" s="183">
        <v>586380.0</v>
      </c>
      <c r="D14" s="184" t="s">
        <v>20</v>
      </c>
      <c r="E14" s="185" t="s">
        <v>20</v>
      </c>
      <c r="F14" s="18" t="s">
        <v>7</v>
      </c>
      <c r="G14" s="18"/>
      <c r="H14" s="172"/>
      <c r="I14" s="173"/>
      <c r="J14" s="193"/>
      <c r="K14" s="194"/>
      <c r="L14" s="20"/>
      <c r="M14" s="18"/>
      <c r="N14" s="20"/>
      <c r="O14" s="20"/>
      <c r="P14" s="20"/>
      <c r="Q14" s="20"/>
    </row>
    <row r="15" ht="19.5" customHeight="1">
      <c r="A15" s="18"/>
      <c r="B15" s="172">
        <v>43584.0</v>
      </c>
      <c r="C15" s="183">
        <f>0.3021875*SUMIF(E:E,"Nana",C:C)</f>
        <v>24175</v>
      </c>
      <c r="D15" s="184" t="s">
        <v>435</v>
      </c>
      <c r="E15" s="185" t="s">
        <v>414</v>
      </c>
      <c r="F15" s="18" t="s">
        <v>7</v>
      </c>
      <c r="G15" s="18"/>
      <c r="H15" s="172"/>
      <c r="I15" s="173"/>
      <c r="J15" s="193"/>
      <c r="K15" s="194"/>
      <c r="L15" s="20"/>
      <c r="M15" s="18"/>
      <c r="P15" s="20"/>
      <c r="Q15" s="20"/>
    </row>
    <row r="16" ht="19.5" customHeight="1">
      <c r="A16" s="18"/>
      <c r="B16" s="172">
        <v>43584.0</v>
      </c>
      <c r="C16" s="183">
        <v>10000.0</v>
      </c>
      <c r="D16" s="184" t="s">
        <v>413</v>
      </c>
      <c r="E16" s="185" t="s">
        <v>413</v>
      </c>
      <c r="F16" s="18" t="s">
        <v>7</v>
      </c>
      <c r="G16" s="18"/>
      <c r="H16" s="172"/>
      <c r="I16" s="173"/>
      <c r="J16" s="186"/>
      <c r="K16" s="185"/>
      <c r="L16" s="20"/>
      <c r="M16" s="20"/>
      <c r="P16" s="20"/>
      <c r="Q16" s="20"/>
    </row>
    <row r="17" ht="19.5" customHeight="1">
      <c r="A17" s="18"/>
      <c r="B17" s="172">
        <v>43584.0</v>
      </c>
      <c r="C17" s="183">
        <v>50000.0</v>
      </c>
      <c r="D17" s="184" t="s">
        <v>455</v>
      </c>
      <c r="E17" s="185" t="s">
        <v>22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43584.0</v>
      </c>
      <c r="C18" s="183">
        <v>145000.0</v>
      </c>
      <c r="D18" s="184" t="s">
        <v>21</v>
      </c>
      <c r="E18" s="185" t="s">
        <v>21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456</v>
      </c>
      <c r="E19" s="185" t="s">
        <v>27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O20" s="20"/>
      <c r="P20" s="20"/>
      <c r="Q20" s="20"/>
    </row>
    <row r="21" ht="19.5" customHeight="1">
      <c r="A21" s="18"/>
      <c r="B21" s="172"/>
      <c r="C21" s="183"/>
      <c r="D21" s="184" t="s">
        <v>432</v>
      </c>
      <c r="E21" s="185" t="s">
        <v>19</v>
      </c>
      <c r="F21" s="18"/>
      <c r="G21" s="18"/>
      <c r="H21" s="172"/>
      <c r="I21" s="173"/>
      <c r="J21" s="193"/>
      <c r="K21" s="194"/>
      <c r="L21" s="20"/>
      <c r="M21" s="20"/>
      <c r="O21" s="20"/>
      <c r="P21" s="20"/>
      <c r="Q21" s="20"/>
    </row>
    <row r="22" ht="19.5" customHeight="1">
      <c r="A22" s="18"/>
      <c r="B22" s="172"/>
      <c r="C22" s="183"/>
      <c r="D22" s="184" t="s">
        <v>452</v>
      </c>
      <c r="E22" s="185" t="s">
        <v>19</v>
      </c>
      <c r="F22" s="18"/>
      <c r="G22" s="18"/>
      <c r="H22" s="172"/>
      <c r="I22" s="173"/>
      <c r="J22" s="193"/>
      <c r="K22" s="194"/>
      <c r="L22" s="20"/>
      <c r="M22" s="18"/>
      <c r="N22" s="20"/>
      <c r="O22" s="20"/>
      <c r="P22" s="20"/>
      <c r="Q22" s="20"/>
    </row>
    <row r="23" ht="19.5" customHeight="1">
      <c r="A23" s="18"/>
      <c r="B23" s="172"/>
      <c r="C23" s="183"/>
      <c r="D23" s="184" t="s">
        <v>453</v>
      </c>
      <c r="E23" s="185"/>
      <c r="F23" s="18"/>
      <c r="G23" s="18"/>
      <c r="H23" s="172"/>
      <c r="I23" s="173"/>
      <c r="J23" s="193"/>
      <c r="K23" s="194"/>
      <c r="L23" s="20"/>
      <c r="M23" s="18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Q33" s="20"/>
    </row>
  </sheetData>
  <autoFilter ref="$B$4:$F$33">
    <sortState ref="B4:F33">
      <sortCondition ref="B4:B33"/>
      <sortCondition descending="1" ref="F4:F33"/>
      <sortCondition ref="E4:E33"/>
      <sortCondition ref="C4:C33"/>
      <sortCondition ref="D4:D33"/>
    </sortState>
  </autoFilter>
  <mergeCells count="1">
    <mergeCell ref="B1:K1"/>
  </mergeCells>
  <dataValidations>
    <dataValidation type="list" allowBlank="1" showErrorMessage="1" sqref="F5:F33">
      <formula1>"Por pagar,Pagado"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43525.0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(SUMIF(F:F,"pagado",C:C)+SUMIF(F:F,"por pagar fio",C:C))*0.523</f>
        <v>576022.263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 t="str">
        <f>O5*O10</f>
        <v>#REF!</v>
      </c>
      <c r="Q5" s="18" t="str">
        <f>P5-O6</f>
        <v>#REF!</v>
      </c>
    </row>
    <row r="6" ht="19.5" customHeight="1">
      <c r="A6" s="18"/>
      <c r="B6" s="172">
        <v>43525.0</v>
      </c>
      <c r="C6" s="183">
        <v>7390.0</v>
      </c>
      <c r="D6" s="184" t="s">
        <v>18</v>
      </c>
      <c r="E6" s="185" t="s">
        <v>18</v>
      </c>
      <c r="F6" s="18" t="s">
        <v>7</v>
      </c>
      <c r="G6" s="18"/>
      <c r="H6" s="172"/>
      <c r="I6" s="173">
        <f>(SUMIF(F:F,"pagado",C:C)+SUMIF(F:F,"Por pagar Javier",C:C))*0.477</f>
        <v>525358.737</v>
      </c>
      <c r="J6" s="186" t="s">
        <v>462</v>
      </c>
      <c r="K6" s="185" t="s">
        <v>462</v>
      </c>
      <c r="L6" s="18"/>
      <c r="M6" s="18"/>
      <c r="N6" s="234" t="s">
        <v>16</v>
      </c>
      <c r="O6" s="235" t="str">
        <f>P6*O9</f>
        <v>#REF!</v>
      </c>
      <c r="P6" s="236">
        <f>SUMIF(F:F,"Por pagar Javier",C:C)</f>
        <v>0</v>
      </c>
      <c r="Q6" s="18"/>
    </row>
    <row r="7" ht="19.5" customHeight="1">
      <c r="A7" s="18"/>
      <c r="B7" s="172">
        <v>43527.0</v>
      </c>
      <c r="C7" s="183">
        <v>17000.0</v>
      </c>
      <c r="D7" s="184" t="s">
        <v>463</v>
      </c>
      <c r="E7" s="185" t="s">
        <v>19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6" t="str">
        <f>O6-P5</f>
        <v>#REF!</v>
      </c>
      <c r="P7" s="18"/>
      <c r="Q7" s="18"/>
    </row>
    <row r="8" ht="19.5" customHeight="1">
      <c r="A8" s="18"/>
      <c r="B8" s="172">
        <v>43530.0</v>
      </c>
      <c r="C8" s="183">
        <v>45574.0</v>
      </c>
      <c r="D8" s="184" t="s">
        <v>454</v>
      </c>
      <c r="E8" s="185" t="s">
        <v>454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43533.0</v>
      </c>
      <c r="C9" s="183">
        <v>20000.0</v>
      </c>
      <c r="D9" s="184" t="s">
        <v>455</v>
      </c>
      <c r="E9" s="185" t="s">
        <v>22</v>
      </c>
      <c r="F9" s="18" t="s">
        <v>7</v>
      </c>
      <c r="G9" s="18"/>
      <c r="H9" s="172"/>
      <c r="I9" s="173"/>
      <c r="J9" s="186"/>
      <c r="K9" s="185"/>
      <c r="L9" s="20"/>
      <c r="M9" s="20"/>
      <c r="N9" s="237" t="str">
        <f>#REF!</f>
        <v>#REF!</v>
      </c>
      <c r="O9" s="238" t="str">
        <f>N9/N11</f>
        <v>#REF!</v>
      </c>
      <c r="P9" s="20"/>
      <c r="Q9" s="20"/>
    </row>
    <row r="10" ht="19.5" customHeight="1">
      <c r="A10" s="18"/>
      <c r="B10" s="172">
        <v>43536.0</v>
      </c>
      <c r="C10" s="183">
        <v>8590.0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39" t="str">
        <f>Resumen!P8</f>
        <v/>
      </c>
      <c r="O10" s="240" t="str">
        <f>N10/N11</f>
        <v>#REF!</v>
      </c>
      <c r="P10" s="20"/>
      <c r="Q10" s="20"/>
    </row>
    <row r="11" ht="19.5" customHeight="1">
      <c r="A11" s="18"/>
      <c r="B11" s="172">
        <v>43545.0</v>
      </c>
      <c r="C11" s="183">
        <v>20000.0</v>
      </c>
      <c r="D11" s="184" t="s">
        <v>413</v>
      </c>
      <c r="E11" s="185" t="s">
        <v>413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41" t="str">
        <f>N9+N10</f>
        <v>#REF!</v>
      </c>
      <c r="O11" s="242"/>
      <c r="P11" s="20"/>
      <c r="Q11" s="20"/>
    </row>
    <row r="12" ht="19.5" customHeight="1">
      <c r="A12" s="18"/>
      <c r="B12" s="172">
        <v>43526.0</v>
      </c>
      <c r="C12" s="183">
        <v>59993.0</v>
      </c>
      <c r="D12" s="184" t="s">
        <v>433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>
        <v>43527.0</v>
      </c>
      <c r="C13" s="183">
        <v>23335.0</v>
      </c>
      <c r="D13" s="184" t="s">
        <v>434</v>
      </c>
      <c r="E13" s="185" t="s">
        <v>19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1101381</v>
      </c>
      <c r="O13" s="20"/>
      <c r="P13" s="20"/>
      <c r="Q13" s="20"/>
    </row>
    <row r="14" ht="19.5" customHeight="1">
      <c r="A14" s="18"/>
      <c r="B14" s="172">
        <v>43534.0</v>
      </c>
      <c r="C14" s="183">
        <v>61427.0</v>
      </c>
      <c r="D14" s="184" t="s">
        <v>432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/>
      <c r="Q14" s="20"/>
    </row>
    <row r="15" ht="19.5" customHeight="1">
      <c r="A15" s="18"/>
      <c r="B15" s="172">
        <v>43545.0</v>
      </c>
      <c r="C15" s="183">
        <v>27760.0</v>
      </c>
      <c r="D15" s="184" t="s">
        <v>452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163" t="str">
        <f>SUMIF(F:F,"Pagado",C:C)*O9+SUMIF(F:F,"por pagar Fio",C:C)</f>
        <v>#REF!</v>
      </c>
      <c r="P15" s="20"/>
      <c r="Q15" s="20"/>
    </row>
    <row r="16" ht="19.5" customHeight="1">
      <c r="A16" s="18"/>
      <c r="B16" s="172">
        <v>43554.0</v>
      </c>
      <c r="C16" s="183">
        <v>9186.0</v>
      </c>
      <c r="D16" s="184" t="s">
        <v>24</v>
      </c>
      <c r="E16" s="185" t="s">
        <v>24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169" t="str">
        <f>SUMIF(F:F,"Pagado",C:C)*O10+SUMIF(F:F,"por pagar Javier",C:C)</f>
        <v>#REF!</v>
      </c>
      <c r="P16" s="20"/>
      <c r="Q16" s="20"/>
    </row>
    <row r="17" ht="19.5" customHeight="1">
      <c r="A17" s="18"/>
      <c r="B17" s="172">
        <v>43552.0</v>
      </c>
      <c r="C17" s="183">
        <f>0.3021875*SUMIF(E:E,"Nana",C:C)</f>
        <v>24175</v>
      </c>
      <c r="D17" s="184" t="s">
        <v>435</v>
      </c>
      <c r="E17" s="185" t="s">
        <v>414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43552.0</v>
      </c>
      <c r="C18" s="183">
        <v>60000.0</v>
      </c>
      <c r="D18" s="184" t="s">
        <v>466</v>
      </c>
      <c r="E18" s="185" t="s">
        <v>22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5"/>
      <c r="C19" s="183">
        <v>125210.0</v>
      </c>
      <c r="D19" s="184" t="s">
        <v>21</v>
      </c>
      <c r="E19" s="185" t="s">
        <v>21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>
        <v>43555.0</v>
      </c>
      <c r="C20" s="183">
        <v>586380.0</v>
      </c>
      <c r="D20" s="184" t="s">
        <v>20</v>
      </c>
      <c r="E20" s="185" t="s">
        <v>20</v>
      </c>
      <c r="F20" s="18" t="s">
        <v>7</v>
      </c>
      <c r="G20" s="18"/>
      <c r="H20" s="172"/>
      <c r="I20" s="173"/>
      <c r="J20" s="193"/>
      <c r="K20" s="194"/>
      <c r="L20" s="20"/>
      <c r="M20" s="243"/>
      <c r="N20" s="244" t="s">
        <v>17</v>
      </c>
      <c r="O20" s="20"/>
      <c r="P20" s="20"/>
      <c r="Q20" s="20"/>
    </row>
    <row r="21" ht="19.5" customHeight="1">
      <c r="A21" s="18"/>
      <c r="B21" s="172"/>
      <c r="C21" s="183"/>
      <c r="D21" s="184" t="s">
        <v>424</v>
      </c>
      <c r="E21" s="185" t="s">
        <v>26</v>
      </c>
      <c r="F21" s="18"/>
      <c r="G21" s="18"/>
      <c r="H21" s="172"/>
      <c r="I21" s="173"/>
      <c r="J21" s="193"/>
      <c r="K21" s="194"/>
      <c r="L21" s="20"/>
      <c r="M21" s="245"/>
      <c r="N21" s="246">
        <f>SUMIF(F5:F33,"------------------------",C5:C33)</f>
        <v>0</v>
      </c>
      <c r="O21" s="20"/>
      <c r="P21" s="20"/>
      <c r="Q21" s="20"/>
    </row>
    <row r="22" ht="19.5" customHeight="1">
      <c r="A22" s="18"/>
      <c r="B22" s="172"/>
      <c r="C22" s="183"/>
      <c r="D22" s="184" t="s">
        <v>456</v>
      </c>
      <c r="E22" s="185" t="s">
        <v>27</v>
      </c>
      <c r="F22" s="18" t="s">
        <v>467</v>
      </c>
      <c r="G22" s="18"/>
      <c r="H22" s="172"/>
      <c r="I22" s="173"/>
      <c r="J22" s="193"/>
      <c r="K22" s="194"/>
      <c r="L22" s="20"/>
      <c r="M22" s="247" t="s">
        <v>16</v>
      </c>
      <c r="N22" s="248" t="str">
        <f>N21*O9</f>
        <v>#REF!</v>
      </c>
      <c r="O22" s="20"/>
      <c r="P22" s="20"/>
      <c r="Q22" s="20"/>
    </row>
    <row r="23" ht="19.5" customHeight="1">
      <c r="A23" s="18"/>
      <c r="B23" s="172"/>
      <c r="C23" s="183"/>
      <c r="D23" s="184" t="s">
        <v>453</v>
      </c>
      <c r="E23" s="185"/>
      <c r="F23" s="18" t="s">
        <v>467</v>
      </c>
      <c r="G23" s="18"/>
      <c r="H23" s="172"/>
      <c r="I23" s="173"/>
      <c r="J23" s="193"/>
      <c r="K23" s="194"/>
      <c r="L23" s="20"/>
      <c r="M23" s="73" t="s">
        <v>462</v>
      </c>
      <c r="N23" s="249" t="str">
        <f>N21*O10</f>
        <v>#REF!</v>
      </c>
      <c r="O23" s="20" t="str">
        <f>N23+Q5</f>
        <v>#REF!</v>
      </c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18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18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18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33">
    <sortState ref="B4:F33">
      <sortCondition ref="F4:F33"/>
      <sortCondition ref="B4:B33"/>
      <sortCondition ref="C4:C33"/>
      <sortCondition ref="D4:D33"/>
      <sortCondition ref="E4:E33"/>
    </sortState>
  </autoFilter>
  <mergeCells count="1">
    <mergeCell ref="B1:K1"/>
  </mergeCells>
  <dataValidations>
    <dataValidation type="list" allowBlank="1" showErrorMessage="1" sqref="F5:F33">
      <formula1>"Por pagar Fio,Por pagar Javier,Pagado,------------------------"</formula1>
    </dataValidation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20"/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43500.0</v>
      </c>
      <c r="C5" s="173">
        <v>1329.0</v>
      </c>
      <c r="D5" s="174" t="s">
        <v>424</v>
      </c>
      <c r="E5" s="175" t="s">
        <v>26</v>
      </c>
      <c r="F5" s="18" t="s">
        <v>7</v>
      </c>
      <c r="G5" s="20"/>
      <c r="H5" s="172"/>
      <c r="I5" s="173">
        <f>(SUMIF(F:F,"pagado",C:C)+SUMIF(F:F,"por pagar fio",C:C))*0.523</f>
        <v>568007.811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 t="str">
        <f>O5*O10</f>
        <v>#REF!</v>
      </c>
      <c r="Q5" s="18" t="str">
        <f>P5-O6</f>
        <v>#REF!</v>
      </c>
    </row>
    <row r="6" ht="19.5" customHeight="1">
      <c r="A6" s="18"/>
      <c r="B6" s="172">
        <v>43508.0</v>
      </c>
      <c r="C6" s="183">
        <v>4270.0</v>
      </c>
      <c r="D6" s="184" t="s">
        <v>25</v>
      </c>
      <c r="E6" s="185" t="s">
        <v>25</v>
      </c>
      <c r="F6" s="18" t="s">
        <v>7</v>
      </c>
      <c r="G6" s="18"/>
      <c r="H6" s="172"/>
      <c r="I6" s="173">
        <f>(SUMIF(F:F,"pagado",C:C)+SUMIF(F:F,"Por pagar Javier",C:C))*0.477</f>
        <v>518049.189</v>
      </c>
      <c r="J6" s="186" t="s">
        <v>462</v>
      </c>
      <c r="K6" s="185" t="s">
        <v>462</v>
      </c>
      <c r="L6" s="18"/>
      <c r="M6" s="18"/>
      <c r="N6" s="234" t="s">
        <v>16</v>
      </c>
      <c r="O6" s="235" t="str">
        <f>P6*O9</f>
        <v>#REF!</v>
      </c>
      <c r="P6" s="236">
        <f>SUMIF(F:F,"Por pagar Javier",C:C)</f>
        <v>0</v>
      </c>
      <c r="Q6" s="18"/>
    </row>
    <row r="7" ht="19.5" customHeight="1">
      <c r="A7" s="18"/>
      <c r="B7" s="172">
        <v>43498.0</v>
      </c>
      <c r="C7" s="183">
        <v>5361.0</v>
      </c>
      <c r="D7" s="184" t="s">
        <v>15</v>
      </c>
      <c r="E7" s="185" t="s">
        <v>15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6" t="str">
        <f>O6-P5</f>
        <v>#REF!</v>
      </c>
      <c r="P7" s="18"/>
      <c r="Q7" s="18"/>
    </row>
    <row r="8" ht="19.5" customHeight="1">
      <c r="A8" s="18"/>
      <c r="B8" s="172">
        <v>43497.0</v>
      </c>
      <c r="C8" s="183">
        <v>7390.0</v>
      </c>
      <c r="D8" s="184" t="s">
        <v>18</v>
      </c>
      <c r="E8" s="185" t="s">
        <v>18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43521.0</v>
      </c>
      <c r="C9" s="183">
        <v>9704.0</v>
      </c>
      <c r="D9" s="184" t="s">
        <v>24</v>
      </c>
      <c r="E9" s="185" t="s">
        <v>24</v>
      </c>
      <c r="F9" s="18" t="s">
        <v>7</v>
      </c>
      <c r="G9" s="18"/>
      <c r="H9" s="172"/>
      <c r="I9" s="173"/>
      <c r="J9" s="186"/>
      <c r="K9" s="185"/>
      <c r="L9" s="20"/>
      <c r="M9" s="20"/>
      <c r="N9" s="237" t="str">
        <f>#REF!</f>
        <v>#REF!</v>
      </c>
      <c r="O9" s="238" t="str">
        <f>N9/N11</f>
        <v>#REF!</v>
      </c>
      <c r="P9" s="20"/>
      <c r="Q9" s="20"/>
    </row>
    <row r="10" ht="19.5" customHeight="1">
      <c r="A10" s="18"/>
      <c r="B10" s="172">
        <v>43516.0</v>
      </c>
      <c r="C10" s="183">
        <v>20000.0</v>
      </c>
      <c r="D10" s="184" t="s">
        <v>413</v>
      </c>
      <c r="E10" s="185" t="s">
        <v>413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39" t="str">
        <f>Resumen!P8</f>
        <v/>
      </c>
      <c r="O10" s="240" t="str">
        <f>N10/N11</f>
        <v>#REF!</v>
      </c>
      <c r="P10" s="20"/>
      <c r="Q10" s="20"/>
    </row>
    <row r="11" ht="19.5" customHeight="1">
      <c r="A11" s="18"/>
      <c r="B11" s="172">
        <v>43524.0</v>
      </c>
      <c r="C11" s="183">
        <f>0.3021875*SUMIF(E5:E29,"Nana",C5:C30)</f>
        <v>24175</v>
      </c>
      <c r="D11" s="184" t="s">
        <v>435</v>
      </c>
      <c r="E11" s="185" t="s">
        <v>414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41" t="str">
        <f>N9+N10</f>
        <v>#REF!</v>
      </c>
      <c r="O11" s="242"/>
      <c r="P11" s="20"/>
      <c r="Q11" s="20"/>
    </row>
    <row r="12" ht="19.5" customHeight="1">
      <c r="A12" s="18"/>
      <c r="B12" s="172">
        <v>43517.0</v>
      </c>
      <c r="C12" s="183">
        <v>39570.0</v>
      </c>
      <c r="D12" s="184" t="s">
        <v>432</v>
      </c>
      <c r="E12" s="185" t="s">
        <v>19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>
        <v>43503.0</v>
      </c>
      <c r="C13" s="183">
        <v>45578.0</v>
      </c>
      <c r="D13" s="184" t="s">
        <v>454</v>
      </c>
      <c r="E13" s="185" t="s">
        <v>454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1086057</v>
      </c>
      <c r="O13" s="20"/>
      <c r="P13" s="20"/>
      <c r="Q13" s="20"/>
    </row>
    <row r="14" ht="19.5" customHeight="1">
      <c r="A14" s="18"/>
      <c r="B14" s="172">
        <v>43505.0</v>
      </c>
      <c r="C14" s="183">
        <v>60721.0</v>
      </c>
      <c r="D14" s="184" t="s">
        <v>434</v>
      </c>
      <c r="E14" s="185" t="s">
        <v>19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/>
      <c r="Q14" s="20"/>
    </row>
    <row r="15" ht="19.5" customHeight="1">
      <c r="A15" s="18"/>
      <c r="B15" s="172">
        <v>43524.0</v>
      </c>
      <c r="C15" s="183">
        <v>80000.0</v>
      </c>
      <c r="D15" s="184" t="s">
        <v>466</v>
      </c>
      <c r="E15" s="185" t="s">
        <v>22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163" t="str">
        <f>SUMIF(F:F,"Pagado",C:C)*O9+SUMIF(F:F,"por pagar Fio",C:C)</f>
        <v>#REF!</v>
      </c>
      <c r="P15" s="20"/>
      <c r="Q15" s="20"/>
    </row>
    <row r="16" ht="19.5" customHeight="1">
      <c r="A16" s="18"/>
      <c r="B16" s="172">
        <v>43498.0</v>
      </c>
      <c r="C16" s="183">
        <v>85953.0</v>
      </c>
      <c r="D16" s="184" t="s">
        <v>433</v>
      </c>
      <c r="E16" s="185" t="s">
        <v>19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169" t="str">
        <f>SUMIF(F:F,"Pagado",C:C)*O10+SUMIF(F:F,"por pagar Javier",C:C)</f>
        <v>#REF!</v>
      </c>
      <c r="P16" s="20"/>
      <c r="Q16" s="20"/>
    </row>
    <row r="17" ht="19.5" customHeight="1">
      <c r="A17" s="18"/>
      <c r="B17" s="172">
        <v>43541.0</v>
      </c>
      <c r="C17" s="183">
        <v>115626.0</v>
      </c>
      <c r="D17" s="184" t="s">
        <v>21</v>
      </c>
      <c r="E17" s="185" t="s">
        <v>21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43516.0</v>
      </c>
      <c r="C18" s="183">
        <v>586380.0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 t="s">
        <v>452</v>
      </c>
      <c r="E19" s="185" t="s">
        <v>19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456</v>
      </c>
      <c r="E20" s="185" t="s">
        <v>27</v>
      </c>
      <c r="F20" s="18"/>
      <c r="G20" s="18"/>
      <c r="H20" s="172"/>
      <c r="I20" s="173"/>
      <c r="J20" s="193"/>
      <c r="K20" s="194"/>
      <c r="L20" s="20"/>
      <c r="M20" s="243"/>
      <c r="N20" s="244" t="s">
        <v>17</v>
      </c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45"/>
      <c r="N21" s="246">
        <f>SUMIF(F5:F33,"",C5:C33)</f>
        <v>0</v>
      </c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47" t="s">
        <v>16</v>
      </c>
      <c r="N22" s="248" t="str">
        <f>N21*O9</f>
        <v>#REF!</v>
      </c>
      <c r="O22" s="20" t="str">
        <f>O7+N22</f>
        <v>#REF!</v>
      </c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73" t="s">
        <v>462</v>
      </c>
      <c r="N23" s="249" t="str">
        <f>N21*O10</f>
        <v>#REF!</v>
      </c>
      <c r="O23" s="20" t="str">
        <f>N23+Q5</f>
        <v>#REF!</v>
      </c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18">
        <v>2.22328773E8</v>
      </c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18">
        <v>2.22519006E8</v>
      </c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18">
        <v>2.23332981E8</v>
      </c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33">
    <sortState ref="B4:F33">
      <sortCondition ref="C4:C33"/>
      <sortCondition ref="B4:B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  <dataValidation type="list" allowBlank="1" showErrorMessage="1" sqref="F5:F31">
      <formula1>"Por pagar Fio,Por pagar Javier,Pagado"</formula1>
    </dataValidation>
  </dataValidation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18" t="s">
        <v>468</v>
      </c>
      <c r="B4" s="166" t="s">
        <v>418</v>
      </c>
      <c r="C4" s="167" t="s">
        <v>419</v>
      </c>
      <c r="D4" s="166" t="s">
        <v>420</v>
      </c>
      <c r="E4" s="166" t="s">
        <v>421</v>
      </c>
      <c r="F4" s="166" t="s">
        <v>422</v>
      </c>
      <c r="G4" s="20"/>
      <c r="H4" s="166" t="s">
        <v>418</v>
      </c>
      <c r="I4" s="167" t="s">
        <v>419</v>
      </c>
      <c r="J4" s="166" t="s">
        <v>420</v>
      </c>
      <c r="K4" s="166" t="s">
        <v>421</v>
      </c>
      <c r="L4" s="168"/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 t="s">
        <v>469</v>
      </c>
      <c r="B5" s="172">
        <v>43496.0</v>
      </c>
      <c r="C5" s="173">
        <v>3949.0</v>
      </c>
      <c r="D5" s="174" t="s">
        <v>24</v>
      </c>
      <c r="E5" s="175" t="s">
        <v>24</v>
      </c>
      <c r="F5" s="18" t="s">
        <v>7</v>
      </c>
      <c r="G5" s="20"/>
      <c r="H5" s="172"/>
      <c r="I5" s="173">
        <f>(SUMIF(F:F,"pagado",C:C)+SUMIF(F:F,"por pagar fio",C:C))*0.523</f>
        <v>566320.613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9">
        <f>P5-O6</f>
        <v>0</v>
      </c>
    </row>
    <row r="6" ht="19.5" customHeight="1">
      <c r="A6" s="18" t="s">
        <v>469</v>
      </c>
      <c r="B6" s="172">
        <v>43467.0</v>
      </c>
      <c r="C6" s="183">
        <v>5361.0</v>
      </c>
      <c r="D6" s="184" t="s">
        <v>15</v>
      </c>
      <c r="E6" s="185" t="s">
        <v>15</v>
      </c>
      <c r="F6" s="18" t="s">
        <v>7</v>
      </c>
      <c r="G6" s="18"/>
      <c r="H6" s="172"/>
      <c r="I6" s="173">
        <f>(SUMIF(F:F,"pagado",C:C)+SUMIF(F:F,"Por pagar Javier",C:C))*0.477</f>
        <v>516510.387</v>
      </c>
      <c r="J6" s="186" t="s">
        <v>462</v>
      </c>
      <c r="K6" s="185" t="s">
        <v>462</v>
      </c>
      <c r="L6" s="18"/>
      <c r="M6" s="18"/>
      <c r="N6" s="234" t="s">
        <v>16</v>
      </c>
      <c r="O6" s="235">
        <f>P6*O9</f>
        <v>0</v>
      </c>
      <c r="P6" s="236">
        <f>SUMIF(F:F,"Por pagar Javier",C:C)</f>
        <v>0</v>
      </c>
      <c r="Q6" s="18"/>
    </row>
    <row r="7" ht="19.5" customHeight="1">
      <c r="A7" s="18" t="s">
        <v>470</v>
      </c>
      <c r="B7" s="172">
        <v>43467.0</v>
      </c>
      <c r="C7" s="183">
        <v>7390.0</v>
      </c>
      <c r="D7" s="184" t="s">
        <v>18</v>
      </c>
      <c r="E7" s="185" t="s">
        <v>18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2">
        <f>O6-P5</f>
        <v>0</v>
      </c>
      <c r="P7" s="18"/>
      <c r="Q7" s="18"/>
    </row>
    <row r="8" ht="19.5" customHeight="1">
      <c r="A8" s="18" t="s">
        <v>469</v>
      </c>
      <c r="B8" s="172">
        <v>43475.0</v>
      </c>
      <c r="C8" s="183">
        <v>8230.0</v>
      </c>
      <c r="D8" s="184" t="s">
        <v>25</v>
      </c>
      <c r="E8" s="185" t="s">
        <v>25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 t="s">
        <v>470</v>
      </c>
      <c r="B9" s="172">
        <v>43477.0</v>
      </c>
      <c r="C9" s="183">
        <v>19209.0</v>
      </c>
      <c r="D9" s="184" t="s">
        <v>456</v>
      </c>
      <c r="E9" s="185" t="s">
        <v>27</v>
      </c>
      <c r="F9" s="18" t="s">
        <v>7</v>
      </c>
      <c r="G9" s="18"/>
      <c r="H9" s="172"/>
      <c r="I9" s="173"/>
      <c r="J9" s="186"/>
      <c r="K9" s="185"/>
      <c r="L9" s="20"/>
      <c r="M9" s="20"/>
      <c r="N9" s="250">
        <v>1582215.0</v>
      </c>
      <c r="O9" s="238">
        <f>N9/N11</f>
        <v>0.5005648781</v>
      </c>
      <c r="P9" s="20"/>
      <c r="Q9" s="20"/>
    </row>
    <row r="10" ht="19.5" customHeight="1">
      <c r="A10" s="18" t="s">
        <v>470</v>
      </c>
      <c r="B10" s="172">
        <v>43477.0</v>
      </c>
      <c r="C10" s="183">
        <v>20000.0</v>
      </c>
      <c r="D10" s="184" t="s">
        <v>471</v>
      </c>
      <c r="E10" s="185" t="s">
        <v>22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39">
        <v>1578644.0</v>
      </c>
      <c r="O10" s="240">
        <f>N10/N11</f>
        <v>0.4994351219</v>
      </c>
      <c r="P10" s="20"/>
      <c r="Q10" s="20"/>
    </row>
    <row r="11" ht="19.5" customHeight="1">
      <c r="A11" s="18" t="s">
        <v>469</v>
      </c>
      <c r="B11" s="172">
        <v>43481.0</v>
      </c>
      <c r="C11" s="183">
        <v>20000.0</v>
      </c>
      <c r="D11" s="184" t="s">
        <v>413</v>
      </c>
      <c r="E11" s="185" t="s">
        <v>413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41">
        <f>N9+N10</f>
        <v>3160859</v>
      </c>
      <c r="O11" s="242"/>
      <c r="P11" s="20"/>
      <c r="Q11" s="20"/>
    </row>
    <row r="12" ht="19.5" customHeight="1">
      <c r="A12" s="18" t="s">
        <v>470</v>
      </c>
      <c r="B12" s="172">
        <v>43482.0</v>
      </c>
      <c r="C12" s="183">
        <v>20000.0</v>
      </c>
      <c r="D12" s="184" t="s">
        <v>472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 t="s">
        <v>469</v>
      </c>
      <c r="B13" s="172">
        <v>43489.0</v>
      </c>
      <c r="C13" s="183">
        <v>20000.0</v>
      </c>
      <c r="D13" s="184" t="s">
        <v>473</v>
      </c>
      <c r="E13" s="185" t="s">
        <v>22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1082831</v>
      </c>
      <c r="O13" s="20"/>
      <c r="P13" s="20"/>
      <c r="Q13" s="20"/>
    </row>
    <row r="14" ht="19.5" customHeight="1">
      <c r="A14" s="18" t="s">
        <v>470</v>
      </c>
      <c r="B14" s="172">
        <v>43496.0</v>
      </c>
      <c r="C14" s="183">
        <v>20000.0</v>
      </c>
      <c r="D14" s="184" t="s">
        <v>474</v>
      </c>
      <c r="E14" s="185" t="s">
        <v>22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/>
      <c r="Q14" s="20"/>
    </row>
    <row r="15" ht="19.5" customHeight="1">
      <c r="A15" s="18" t="s">
        <v>470</v>
      </c>
      <c r="B15" s="172">
        <v>43496.0</v>
      </c>
      <c r="C15" s="183">
        <v>24175.0</v>
      </c>
      <c r="D15" s="184" t="s">
        <v>435</v>
      </c>
      <c r="E15" s="185" t="s">
        <v>22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251">
        <f>SUMIF(F:F,"Pagado",C:C)*O9+SUMIF(F:F,"por pagar Fio",C:C)</f>
        <v>542027.1675</v>
      </c>
      <c r="P15" s="20"/>
      <c r="Q15" s="20"/>
    </row>
    <row r="16" ht="19.5" customHeight="1">
      <c r="A16" s="18" t="s">
        <v>470</v>
      </c>
      <c r="B16" s="172">
        <v>43474.0</v>
      </c>
      <c r="C16" s="183">
        <v>39990.0</v>
      </c>
      <c r="D16" s="184" t="s">
        <v>454</v>
      </c>
      <c r="E16" s="185" t="s">
        <v>454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249">
        <f>SUMIF(F:F,"Pagado",C:C)*O10+SUMIF(F:F,"por pagar Javier",C:C)</f>
        <v>540803.8325</v>
      </c>
      <c r="P16" s="20"/>
      <c r="Q16" s="20"/>
    </row>
    <row r="17" ht="19.5" customHeight="1">
      <c r="A17" s="18" t="s">
        <v>470</v>
      </c>
      <c r="B17" s="172">
        <v>43477.0</v>
      </c>
      <c r="C17" s="183">
        <v>52450.0</v>
      </c>
      <c r="D17" s="184" t="s">
        <v>434</v>
      </c>
      <c r="E17" s="185" t="s">
        <v>19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18" t="s">
        <v>469</v>
      </c>
      <c r="B18" s="172">
        <v>43472.0</v>
      </c>
      <c r="C18" s="183">
        <v>60447.0</v>
      </c>
      <c r="D18" s="184" t="s">
        <v>433</v>
      </c>
      <c r="E18" s="185" t="s">
        <v>19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 t="s">
        <v>470</v>
      </c>
      <c r="B19" s="172">
        <v>43490.0</v>
      </c>
      <c r="C19" s="183">
        <v>66882.0</v>
      </c>
      <c r="D19" s="184" t="s">
        <v>432</v>
      </c>
      <c r="E19" s="185" t="s">
        <v>19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18" t="s">
        <v>469</v>
      </c>
      <c r="B20" s="172">
        <v>43511.0</v>
      </c>
      <c r="C20" s="183">
        <v>114748.0</v>
      </c>
      <c r="D20" s="184" t="s">
        <v>21</v>
      </c>
      <c r="E20" s="185" t="s">
        <v>21</v>
      </c>
      <c r="F20" s="18" t="s">
        <v>7</v>
      </c>
      <c r="G20" s="18"/>
      <c r="H20" s="172"/>
      <c r="I20" s="173"/>
      <c r="J20" s="193"/>
      <c r="K20" s="194"/>
      <c r="L20" s="20"/>
      <c r="M20" s="243"/>
      <c r="N20" s="244" t="s">
        <v>17</v>
      </c>
      <c r="O20" s="20"/>
      <c r="P20" s="20"/>
      <c r="Q20" s="20"/>
    </row>
    <row r="21" ht="19.5" customHeight="1">
      <c r="A21" s="18" t="s">
        <v>469</v>
      </c>
      <c r="B21" s="172">
        <v>43496.0</v>
      </c>
      <c r="C21" s="183">
        <v>580000.0</v>
      </c>
      <c r="D21" s="184" t="s">
        <v>20</v>
      </c>
      <c r="E21" s="185" t="s">
        <v>20</v>
      </c>
      <c r="F21" s="18" t="s">
        <v>7</v>
      </c>
      <c r="G21" s="18"/>
      <c r="H21" s="172"/>
      <c r="I21" s="173"/>
      <c r="J21" s="193"/>
      <c r="K21" s="194"/>
      <c r="L21" s="20"/>
      <c r="M21" s="245"/>
      <c r="N21" s="246">
        <f>SUMIF(F5:F33,"",C5:C33)</f>
        <v>0</v>
      </c>
      <c r="O21" s="20"/>
      <c r="P21" s="20"/>
      <c r="Q21" s="20"/>
    </row>
    <row r="22" ht="19.5" customHeight="1">
      <c r="A22" s="18" t="s">
        <v>469</v>
      </c>
      <c r="B22" s="172"/>
      <c r="C22" s="183"/>
      <c r="D22" s="184" t="s">
        <v>452</v>
      </c>
      <c r="E22" s="185" t="s">
        <v>19</v>
      </c>
      <c r="F22" s="18" t="s">
        <v>7</v>
      </c>
      <c r="G22" s="18"/>
      <c r="H22" s="172"/>
      <c r="I22" s="173"/>
      <c r="J22" s="193"/>
      <c r="K22" s="194"/>
      <c r="L22" s="20"/>
      <c r="M22" s="247" t="s">
        <v>16</v>
      </c>
      <c r="N22" s="246">
        <f>N21*O9</f>
        <v>0</v>
      </c>
      <c r="O22" s="252">
        <f>O7+N22</f>
        <v>0</v>
      </c>
      <c r="P22" s="20"/>
      <c r="Q22" s="20"/>
    </row>
    <row r="23" ht="19.5" customHeight="1">
      <c r="A23" s="18" t="s">
        <v>470</v>
      </c>
      <c r="B23" s="172"/>
      <c r="C23" s="183"/>
      <c r="D23" s="184" t="s">
        <v>424</v>
      </c>
      <c r="E23" s="185" t="s">
        <v>26</v>
      </c>
      <c r="F23" s="18" t="s">
        <v>7</v>
      </c>
      <c r="G23" s="18"/>
      <c r="H23" s="172"/>
      <c r="I23" s="173"/>
      <c r="J23" s="193"/>
      <c r="K23" s="194"/>
      <c r="L23" s="20"/>
      <c r="M23" s="73" t="s">
        <v>462</v>
      </c>
      <c r="N23" s="169">
        <f>N21*O10</f>
        <v>0</v>
      </c>
      <c r="O23" s="252">
        <f>N23+Q5</f>
        <v>0</v>
      </c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18">
        <v>2.22328773E8</v>
      </c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18">
        <v>2.22519006E8</v>
      </c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18">
        <v>2.23332981E8</v>
      </c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172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172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172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172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33">
    <sortState ref="B4:F33">
      <sortCondition ref="C4:C33"/>
      <sortCondition ref="B4:B33"/>
      <sortCondition ref="D4:D33"/>
      <sortCondition ref="F4:F33"/>
      <sortCondition ref="E4:E33"/>
    </sortState>
  </autoFilter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  <dataValidation type="list" allowBlank="1" showErrorMessage="1" sqref="F5:F31">
      <formula1>"Por pagar Fio,Por pagar Javier,Pagado"</formula1>
    </dataValidation>
  </dataValidation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20"/>
      <c r="B4" s="168" t="s">
        <v>418</v>
      </c>
      <c r="C4" s="167" t="s">
        <v>419</v>
      </c>
      <c r="D4" s="168" t="s">
        <v>420</v>
      </c>
      <c r="E4" s="168" t="s">
        <v>421</v>
      </c>
      <c r="F4" s="168" t="s">
        <v>422</v>
      </c>
      <c r="G4" s="20"/>
      <c r="H4" s="168" t="s">
        <v>418</v>
      </c>
      <c r="I4" s="167" t="s">
        <v>419</v>
      </c>
      <c r="J4" s="168" t="s">
        <v>420</v>
      </c>
      <c r="K4" s="168" t="s">
        <v>421</v>
      </c>
      <c r="L4" s="168" t="s">
        <v>422</v>
      </c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43435.0</v>
      </c>
      <c r="C5" s="173">
        <v>21000.0</v>
      </c>
      <c r="D5" s="174" t="s">
        <v>456</v>
      </c>
      <c r="E5" s="175" t="s">
        <v>27</v>
      </c>
      <c r="F5" s="18" t="s">
        <v>7</v>
      </c>
      <c r="G5" s="20"/>
      <c r="H5" s="172"/>
      <c r="I5" s="173">
        <f>(SUMIF(F:F,"pagado",C:C)+SUMIF(F:F,"por pagar fio",C:C))*0.523</f>
        <v>586183.107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9">
        <f>P5-O6</f>
        <v>0</v>
      </c>
    </row>
    <row r="6" ht="19.5" customHeight="1">
      <c r="A6" s="18"/>
      <c r="B6" s="172">
        <v>43435.0</v>
      </c>
      <c r="C6" s="183">
        <v>15000.0</v>
      </c>
      <c r="D6" s="184" t="s">
        <v>471</v>
      </c>
      <c r="E6" s="185" t="s">
        <v>22</v>
      </c>
      <c r="F6" s="18" t="s">
        <v>7</v>
      </c>
      <c r="G6" s="18"/>
      <c r="H6" s="172"/>
      <c r="I6" s="173">
        <f>(SUMIF(F:F,"pagado",C:C)+SUMIF(F:F,"Por pagar Javier",C:C))*0.477</f>
        <v>534625.893</v>
      </c>
      <c r="J6" s="186" t="s">
        <v>462</v>
      </c>
      <c r="K6" s="185" t="s">
        <v>462</v>
      </c>
      <c r="L6" s="18"/>
      <c r="M6" s="18"/>
      <c r="N6" s="234" t="s">
        <v>16</v>
      </c>
      <c r="O6" s="235">
        <f>P6*O9</f>
        <v>0</v>
      </c>
      <c r="P6" s="236">
        <f>SUMIF(F:F,"Por pagar Javier",C:C)</f>
        <v>0</v>
      </c>
      <c r="Q6" s="18"/>
    </row>
    <row r="7" ht="19.5" customHeight="1">
      <c r="A7" s="18"/>
      <c r="B7" s="172">
        <v>43439.0</v>
      </c>
      <c r="C7" s="183">
        <v>1399.0</v>
      </c>
      <c r="D7" s="184" t="s">
        <v>424</v>
      </c>
      <c r="E7" s="185" t="s">
        <v>26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2">
        <f>O6-P5</f>
        <v>0</v>
      </c>
      <c r="P7" s="18"/>
      <c r="Q7" s="18"/>
    </row>
    <row r="8" ht="19.5" customHeight="1">
      <c r="A8" s="18"/>
      <c r="B8" s="172">
        <v>43443.0</v>
      </c>
      <c r="C8" s="183">
        <v>15000.0</v>
      </c>
      <c r="D8" s="184" t="s">
        <v>472</v>
      </c>
      <c r="E8" s="185" t="s">
        <v>22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43443.0</v>
      </c>
      <c r="C9" s="183">
        <v>39990.0</v>
      </c>
      <c r="D9" s="184" t="s">
        <v>454</v>
      </c>
      <c r="E9" s="185" t="s">
        <v>454</v>
      </c>
      <c r="F9" s="18" t="s">
        <v>7</v>
      </c>
      <c r="G9" s="18"/>
      <c r="H9" s="172"/>
      <c r="I9" s="173"/>
      <c r="J9" s="186"/>
      <c r="K9" s="185"/>
      <c r="L9" s="20"/>
      <c r="M9" s="20"/>
      <c r="N9" s="253">
        <v>1582215.0</v>
      </c>
      <c r="O9" s="254">
        <f>N9/N11</f>
        <v>0.5230091084</v>
      </c>
      <c r="P9" s="20"/>
      <c r="Q9" s="20"/>
    </row>
    <row r="10" ht="19.5" customHeight="1">
      <c r="A10" s="18"/>
      <c r="B10" s="172">
        <v>43446.0</v>
      </c>
      <c r="C10" s="183">
        <v>3916.0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53">
        <v>1443000.0</v>
      </c>
      <c r="O10" s="254">
        <f>N10/N11</f>
        <v>0.4769908916</v>
      </c>
      <c r="P10" s="20"/>
      <c r="Q10" s="20"/>
    </row>
    <row r="11" ht="19.5" customHeight="1">
      <c r="A11" s="18"/>
      <c r="B11" s="172">
        <v>43450.0</v>
      </c>
      <c r="C11" s="183">
        <v>15000.0</v>
      </c>
      <c r="D11" s="184" t="s">
        <v>473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53">
        <f>N9+N10</f>
        <v>3025215</v>
      </c>
      <c r="O11" s="255"/>
      <c r="P11" s="20"/>
      <c r="Q11" s="20"/>
    </row>
    <row r="12" ht="19.5" customHeight="1">
      <c r="A12" s="18"/>
      <c r="B12" s="172"/>
      <c r="C12" s="183">
        <v>5361.0</v>
      </c>
      <c r="D12" s="184" t="s">
        <v>15</v>
      </c>
      <c r="E12" s="185" t="s">
        <v>15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/>
      <c r="C13" s="183">
        <v>7390.0</v>
      </c>
      <c r="D13" s="184" t="s">
        <v>18</v>
      </c>
      <c r="E13" s="185" t="s">
        <v>18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1120809</v>
      </c>
      <c r="O13" s="20"/>
      <c r="P13" s="252">
        <f>160000*0.523+O6</f>
        <v>83680</v>
      </c>
      <c r="Q13" s="20"/>
    </row>
    <row r="14" ht="19.5" customHeight="1">
      <c r="A14" s="18"/>
      <c r="B14" s="172">
        <v>43465.0</v>
      </c>
      <c r="C14" s="183">
        <v>2927.0</v>
      </c>
      <c r="D14" s="184" t="s">
        <v>24</v>
      </c>
      <c r="E14" s="185" t="s">
        <v>24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>
        <f>160000*0.477</f>
        <v>76320</v>
      </c>
      <c r="Q14" s="20"/>
    </row>
    <row r="15" ht="19.5" customHeight="1">
      <c r="A15" s="18"/>
      <c r="B15" s="172">
        <v>43441.0</v>
      </c>
      <c r="C15" s="183">
        <v>55600.0</v>
      </c>
      <c r="D15" s="184" t="s">
        <v>433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251">
        <f>SUMIF(F:F,"Pagado",C:C)*0.523+SUMIF(F:F,"por pagar Fio",C:C)</f>
        <v>586183.107</v>
      </c>
      <c r="P15" s="20"/>
      <c r="Q15" s="20"/>
    </row>
    <row r="16" ht="19.5" customHeight="1">
      <c r="A16" s="18"/>
      <c r="B16" s="172">
        <v>43450.0</v>
      </c>
      <c r="C16" s="183">
        <v>60139.0</v>
      </c>
      <c r="D16" s="184" t="s">
        <v>434</v>
      </c>
      <c r="E16" s="185" t="s">
        <v>19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249">
        <f>SUMIF(F:F,"Pagado",C:C)*0.477+SUMIF(F:F,"por pagar Javier",C:C)</f>
        <v>534625.893</v>
      </c>
      <c r="P16" s="20"/>
      <c r="Q16" s="20"/>
    </row>
    <row r="17" ht="19.5" customHeight="1">
      <c r="A17" s="18"/>
      <c r="B17" s="172">
        <v>43457.0</v>
      </c>
      <c r="C17" s="183">
        <v>52868.0</v>
      </c>
      <c r="D17" s="184" t="s">
        <v>432</v>
      </c>
      <c r="E17" s="185" t="s">
        <v>19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43464.0</v>
      </c>
      <c r="C18" s="183">
        <v>20000.0</v>
      </c>
      <c r="D18" s="184" t="s">
        <v>474</v>
      </c>
      <c r="E18" s="185" t="s">
        <v>22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>
        <v>43465.0</v>
      </c>
      <c r="C19" s="183">
        <v>580000.0</v>
      </c>
      <c r="D19" s="184" t="s">
        <v>20</v>
      </c>
      <c r="E19" s="185" t="s">
        <v>20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>
        <v>43480.0</v>
      </c>
      <c r="C20" s="183">
        <v>134136.0</v>
      </c>
      <c r="D20" s="184" t="s">
        <v>21</v>
      </c>
      <c r="E20" s="185" t="s">
        <v>21</v>
      </c>
      <c r="F20" s="18" t="s">
        <v>7</v>
      </c>
      <c r="G20" s="18"/>
      <c r="H20" s="172"/>
      <c r="I20" s="173"/>
      <c r="J20" s="193"/>
      <c r="K20" s="194"/>
      <c r="L20" s="20"/>
      <c r="M20" s="243"/>
      <c r="N20" s="244" t="s">
        <v>17</v>
      </c>
      <c r="O20" s="20"/>
      <c r="P20" s="20"/>
      <c r="Q20" s="20"/>
    </row>
    <row r="21" ht="19.5" customHeight="1">
      <c r="A21" s="18"/>
      <c r="B21" s="172"/>
      <c r="C21" s="183"/>
      <c r="D21" s="184" t="s">
        <v>413</v>
      </c>
      <c r="E21" s="185" t="s">
        <v>413</v>
      </c>
      <c r="F21" s="18" t="s">
        <v>7</v>
      </c>
      <c r="G21" s="18"/>
      <c r="H21" s="172"/>
      <c r="I21" s="173"/>
      <c r="J21" s="193"/>
      <c r="K21" s="194"/>
      <c r="L21" s="20"/>
      <c r="M21" s="245"/>
      <c r="N21" s="246">
        <f>SUMIF(F5:F33,"",C5:C33)</f>
        <v>0</v>
      </c>
      <c r="O21" s="20"/>
      <c r="P21" s="20"/>
      <c r="Q21" s="20"/>
    </row>
    <row r="22" ht="19.5" customHeight="1">
      <c r="A22" s="18"/>
      <c r="B22" s="172">
        <v>43465.0</v>
      </c>
      <c r="C22" s="183">
        <v>20000.0</v>
      </c>
      <c r="D22" s="184" t="s">
        <v>292</v>
      </c>
      <c r="E22" s="185" t="s">
        <v>27</v>
      </c>
      <c r="F22" s="18" t="s">
        <v>7</v>
      </c>
      <c r="G22" s="18"/>
      <c r="H22" s="172"/>
      <c r="I22" s="173"/>
      <c r="J22" s="193"/>
      <c r="K22" s="194"/>
      <c r="L22" s="20"/>
      <c r="M22" s="247" t="s">
        <v>16</v>
      </c>
      <c r="N22" s="246">
        <f>N21*O9</f>
        <v>0</v>
      </c>
      <c r="O22" s="20"/>
      <c r="P22" s="20"/>
      <c r="Q22" s="20"/>
    </row>
    <row r="23" ht="19.5" customHeight="1">
      <c r="A23" s="18"/>
      <c r="B23" s="172">
        <v>43465.0</v>
      </c>
      <c r="C23" s="183">
        <v>71083.0</v>
      </c>
      <c r="D23" s="184" t="s">
        <v>452</v>
      </c>
      <c r="E23" s="185" t="s">
        <v>19</v>
      </c>
      <c r="F23" s="18" t="s">
        <v>7</v>
      </c>
      <c r="G23" s="18"/>
      <c r="H23" s="172"/>
      <c r="I23" s="173"/>
      <c r="J23" s="193"/>
      <c r="K23" s="194"/>
      <c r="L23" s="20"/>
      <c r="M23" s="73" t="s">
        <v>462</v>
      </c>
      <c r="N23" s="169">
        <f>N21*O10</f>
        <v>0</v>
      </c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20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20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20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205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205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205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210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26">
    <sortState ref="B4:F26">
      <sortCondition ref="F4:F26"/>
      <sortCondition ref="C4:C26"/>
      <sortCondition ref="E4:E26"/>
      <sortCondition ref="D4:D26"/>
      <sortCondition ref="B4:B26"/>
    </sortState>
  </autoFilter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  <dataValidation type="list" allowBlank="1" showErrorMessage="1" sqref="F5:F31">
      <formula1>"Por pagar Fio,Por pagar Javier,Pagado"</formula1>
    </dataValidation>
  </dataValidation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20"/>
      <c r="B4" s="168" t="s">
        <v>418</v>
      </c>
      <c r="C4" s="167" t="s">
        <v>419</v>
      </c>
      <c r="D4" s="168" t="s">
        <v>420</v>
      </c>
      <c r="E4" s="168" t="s">
        <v>421</v>
      </c>
      <c r="F4" s="168" t="s">
        <v>422</v>
      </c>
      <c r="G4" s="20"/>
      <c r="H4" s="168" t="s">
        <v>418</v>
      </c>
      <c r="I4" s="167" t="s">
        <v>419</v>
      </c>
      <c r="J4" s="168" t="s">
        <v>420</v>
      </c>
      <c r="K4" s="168" t="s">
        <v>421</v>
      </c>
      <c r="L4" s="168" t="s">
        <v>422</v>
      </c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43408.0</v>
      </c>
      <c r="C5" s="173">
        <v>10750.0</v>
      </c>
      <c r="D5" s="174" t="s">
        <v>456</v>
      </c>
      <c r="E5" s="175" t="s">
        <v>27</v>
      </c>
      <c r="F5" s="18" t="s">
        <v>7</v>
      </c>
      <c r="G5" s="20"/>
      <c r="H5" s="172"/>
      <c r="I5" s="173">
        <f>(SUMIF(F:F,"pagado",C:C)+SUMIF(F:F,"por pagar fio",C:C))*0.523</f>
        <v>535731.912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9">
        <f>P5-O6</f>
        <v>0</v>
      </c>
    </row>
    <row r="6" ht="19.5" customHeight="1">
      <c r="A6" s="18"/>
      <c r="B6" s="172">
        <v>43408.0</v>
      </c>
      <c r="C6" s="183">
        <v>10134.0</v>
      </c>
      <c r="D6" s="184" t="s">
        <v>475</v>
      </c>
      <c r="E6" s="185" t="s">
        <v>19</v>
      </c>
      <c r="F6" s="18" t="s">
        <v>7</v>
      </c>
      <c r="G6" s="18"/>
      <c r="H6" s="172"/>
      <c r="I6" s="173">
        <f>(SUMIF(F:F,"pagado",C:C)+SUMIF(F:F,"Por pagar Javier",C:C))*0.477</f>
        <v>488612.088</v>
      </c>
      <c r="J6" s="186" t="s">
        <v>462</v>
      </c>
      <c r="K6" s="185" t="s">
        <v>462</v>
      </c>
      <c r="L6" s="18"/>
      <c r="M6" s="18"/>
      <c r="N6" s="234" t="s">
        <v>16</v>
      </c>
      <c r="O6" s="235">
        <f>P6*O9</f>
        <v>0</v>
      </c>
      <c r="P6" s="236">
        <f>SUMIF(F:F,"Por pagar Javier",C:C)</f>
        <v>0</v>
      </c>
      <c r="Q6" s="18"/>
    </row>
    <row r="7" ht="19.5" customHeight="1">
      <c r="A7" s="18"/>
      <c r="B7" s="172">
        <v>43409.0</v>
      </c>
      <c r="C7" s="183">
        <v>15000.0</v>
      </c>
      <c r="D7" s="184" t="s">
        <v>471</v>
      </c>
      <c r="E7" s="185" t="s">
        <v>22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2">
        <f>O6-P5</f>
        <v>0</v>
      </c>
      <c r="P7" s="18"/>
      <c r="Q7" s="18"/>
    </row>
    <row r="8" ht="19.5" customHeight="1">
      <c r="A8" s="18"/>
      <c r="B8" s="172">
        <v>43410.0</v>
      </c>
      <c r="C8" s="183">
        <v>56635.0</v>
      </c>
      <c r="D8" s="184" t="s">
        <v>433</v>
      </c>
      <c r="E8" s="185" t="s">
        <v>19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43411.0</v>
      </c>
      <c r="C9" s="183">
        <v>39900.0</v>
      </c>
      <c r="D9" s="184" t="s">
        <v>476</v>
      </c>
      <c r="E9" s="185" t="s">
        <v>454</v>
      </c>
      <c r="F9" s="18" t="s">
        <v>7</v>
      </c>
      <c r="G9" s="18"/>
      <c r="H9" s="172"/>
      <c r="I9" s="173"/>
      <c r="J9" s="186"/>
      <c r="K9" s="185"/>
      <c r="L9" s="20"/>
      <c r="M9" s="20"/>
      <c r="N9" s="253">
        <v>1582215.0</v>
      </c>
      <c r="O9" s="254">
        <f>N9/N11</f>
        <v>0.5230091084</v>
      </c>
      <c r="P9" s="20"/>
      <c r="Q9" s="20"/>
    </row>
    <row r="10" ht="19.5" customHeight="1">
      <c r="A10" s="18"/>
      <c r="B10" s="172">
        <v>43423.0</v>
      </c>
      <c r="C10" s="183">
        <v>3942.0</v>
      </c>
      <c r="D10" s="184" t="s">
        <v>25</v>
      </c>
      <c r="E10" s="185" t="s">
        <v>25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53">
        <v>1443000.0</v>
      </c>
      <c r="O10" s="254">
        <f>N10/N11</f>
        <v>0.4769908916</v>
      </c>
      <c r="P10" s="20"/>
      <c r="Q10" s="20"/>
    </row>
    <row r="11" ht="19.5" customHeight="1">
      <c r="A11" s="18"/>
      <c r="B11" s="172">
        <v>43428.0</v>
      </c>
      <c r="C11" s="183">
        <v>56310.0</v>
      </c>
      <c r="D11" s="184" t="s">
        <v>434</v>
      </c>
      <c r="E11" s="185" t="s">
        <v>19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53">
        <f>N9+N10</f>
        <v>3025215</v>
      </c>
      <c r="O11" s="255"/>
      <c r="P11" s="20"/>
      <c r="Q11" s="20"/>
    </row>
    <row r="12" ht="19.5" customHeight="1">
      <c r="A12" s="18"/>
      <c r="B12" s="172">
        <v>43429.0</v>
      </c>
      <c r="C12" s="183">
        <v>20000.0</v>
      </c>
      <c r="D12" s="184" t="s">
        <v>472</v>
      </c>
      <c r="E12" s="185" t="s">
        <v>22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>
        <v>43430.0</v>
      </c>
      <c r="C13" s="183">
        <v>0.0</v>
      </c>
      <c r="D13" s="184" t="s">
        <v>424</v>
      </c>
      <c r="E13" s="185" t="s">
        <v>26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1024344</v>
      </c>
      <c r="O13" s="20"/>
      <c r="P13" s="252">
        <f>160000*0.523+O6</f>
        <v>83680</v>
      </c>
      <c r="Q13" s="20"/>
    </row>
    <row r="14" ht="19.5" customHeight="1">
      <c r="A14" s="18"/>
      <c r="B14" s="172">
        <v>43433.0</v>
      </c>
      <c r="C14" s="183">
        <v>20000.0</v>
      </c>
      <c r="D14" s="184" t="s">
        <v>413</v>
      </c>
      <c r="E14" s="185" t="s">
        <v>413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>
        <f>160000*0.477</f>
        <v>76320</v>
      </c>
      <c r="Q14" s="20"/>
    </row>
    <row r="15" ht="19.5" customHeight="1">
      <c r="A15" s="18"/>
      <c r="B15" s="172">
        <v>43434.0</v>
      </c>
      <c r="C15" s="183">
        <v>2979.0</v>
      </c>
      <c r="D15" s="184" t="s">
        <v>24</v>
      </c>
      <c r="E15" s="185" t="s">
        <v>24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251">
        <f>SUMIF(F:F,"Pagado",C:C)*0.523+SUMIF(F:F,"por pagar Fio",C:C)</f>
        <v>535731.912</v>
      </c>
      <c r="P15" s="20"/>
      <c r="Q15" s="20"/>
    </row>
    <row r="16" ht="19.5" customHeight="1">
      <c r="A16" s="18"/>
      <c r="B16" s="172">
        <v>43434.0</v>
      </c>
      <c r="C16" s="183">
        <v>7390.0</v>
      </c>
      <c r="D16" s="184" t="s">
        <v>18</v>
      </c>
      <c r="E16" s="185" t="s">
        <v>18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249">
        <f>SUMIF(F:F,"Pagado",C:C)*0.477+SUMIF(F:F,"por pagar Javier",C:C)</f>
        <v>488612.088</v>
      </c>
      <c r="P16" s="20"/>
      <c r="Q16" s="20"/>
    </row>
    <row r="17" ht="19.5" customHeight="1">
      <c r="A17" s="18"/>
      <c r="B17" s="172">
        <v>43434.0</v>
      </c>
      <c r="C17" s="183">
        <v>5361.0</v>
      </c>
      <c r="D17" s="184" t="s">
        <v>15</v>
      </c>
      <c r="E17" s="185" t="s">
        <v>15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43434.0</v>
      </c>
      <c r="C18" s="183">
        <v>580000.0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>
        <v>43434.0</v>
      </c>
      <c r="C19" s="183">
        <v>48823.0</v>
      </c>
      <c r="D19" s="184" t="s">
        <v>432</v>
      </c>
      <c r="E19" s="185" t="s">
        <v>19</v>
      </c>
      <c r="F19" s="18" t="s">
        <v>7</v>
      </c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 t="s">
        <v>452</v>
      </c>
      <c r="E20" s="185" t="s">
        <v>19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18"/>
      <c r="B21" s="172">
        <v>43434.0</v>
      </c>
      <c r="C21" s="183">
        <v>147120.0</v>
      </c>
      <c r="D21" s="184" t="s">
        <v>21</v>
      </c>
      <c r="E21" s="185" t="s">
        <v>21</v>
      </c>
      <c r="F21" s="18" t="s">
        <v>7</v>
      </c>
      <c r="G21" s="18"/>
      <c r="H21" s="172"/>
      <c r="I21" s="173"/>
      <c r="J21" s="193"/>
      <c r="K21" s="194"/>
      <c r="L21" s="20"/>
      <c r="M21" s="20"/>
      <c r="N21" s="20"/>
      <c r="O21" s="20"/>
      <c r="P21" s="20"/>
      <c r="Q21" s="20"/>
    </row>
    <row r="22" ht="19.5" customHeight="1">
      <c r="A22" s="18"/>
      <c r="B22" s="172"/>
      <c r="C22" s="183"/>
      <c r="D22" s="184" t="s">
        <v>473</v>
      </c>
      <c r="E22" s="185" t="s">
        <v>22</v>
      </c>
      <c r="F22" s="18" t="s">
        <v>7</v>
      </c>
      <c r="G22" s="18"/>
      <c r="H22" s="172"/>
      <c r="I22" s="173"/>
      <c r="J22" s="193"/>
      <c r="K22" s="194"/>
      <c r="L22" s="20"/>
      <c r="M22" s="20"/>
      <c r="N22" s="20"/>
      <c r="O22" s="20"/>
      <c r="P22" s="20"/>
      <c r="Q22" s="20"/>
    </row>
    <row r="23" ht="19.5" customHeight="1">
      <c r="A23" s="18"/>
      <c r="B23" s="172"/>
      <c r="C23" s="183"/>
      <c r="D23" s="184" t="s">
        <v>474</v>
      </c>
      <c r="E23" s="185" t="s">
        <v>22</v>
      </c>
      <c r="F23" s="18" t="s">
        <v>7</v>
      </c>
      <c r="G23" s="18"/>
      <c r="H23" s="172"/>
      <c r="I23" s="173"/>
      <c r="J23" s="193"/>
      <c r="K23" s="194"/>
      <c r="L23" s="20"/>
      <c r="M23" s="20"/>
      <c r="N23" s="20"/>
      <c r="O23" s="20"/>
      <c r="P23" s="20"/>
      <c r="Q23" s="20"/>
    </row>
    <row r="24" ht="19.5" customHeight="1">
      <c r="A24" s="18"/>
      <c r="B24" s="172"/>
      <c r="C24" s="183"/>
      <c r="D24" s="184" t="s">
        <v>292</v>
      </c>
      <c r="E24" s="185" t="s">
        <v>27</v>
      </c>
      <c r="F24" s="18" t="s">
        <v>7</v>
      </c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20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20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20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205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205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205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210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26">
    <sortState ref="B4:F26">
      <sortCondition ref="B4:B26"/>
    </sortState>
  </autoFilter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  <dataValidation type="list" allowBlank="1" showErrorMessage="1" sqref="F5:F31">
      <formula1>"Por pagar Fio,Por pagar Javier,Pagado"</formula1>
    </dataValidation>
  </dataValidation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6" width="14.25"/>
    <col customWidth="1" min="7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Q3" s="27"/>
    </row>
    <row r="4" ht="24.0" customHeight="1">
      <c r="A4" s="20"/>
      <c r="B4" s="168" t="s">
        <v>418</v>
      </c>
      <c r="C4" s="167" t="s">
        <v>419</v>
      </c>
      <c r="D4" s="168" t="s">
        <v>420</v>
      </c>
      <c r="E4" s="168" t="s">
        <v>421</v>
      </c>
      <c r="F4" s="168" t="s">
        <v>422</v>
      </c>
      <c r="G4" s="20"/>
      <c r="H4" s="168" t="s">
        <v>418</v>
      </c>
      <c r="I4" s="167" t="s">
        <v>419</v>
      </c>
      <c r="J4" s="168" t="s">
        <v>420</v>
      </c>
      <c r="K4" s="168" t="s">
        <v>421</v>
      </c>
      <c r="L4" s="168" t="s">
        <v>422</v>
      </c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43379.0</v>
      </c>
      <c r="C5" s="173">
        <v>33600.0</v>
      </c>
      <c r="D5" s="174" t="s">
        <v>413</v>
      </c>
      <c r="E5" s="175" t="s">
        <v>413</v>
      </c>
      <c r="F5" s="18" t="s">
        <v>7</v>
      </c>
      <c r="G5" s="20"/>
      <c r="H5" s="172"/>
      <c r="I5" s="173">
        <f>(SUMIF(F:F,"pagado",C:C)+SUMIF(F:F,"por pagar fio",C:C))*0.523</f>
        <v>540263.707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9">
        <f>P5-O6</f>
        <v>0</v>
      </c>
    </row>
    <row r="6" ht="19.5" customHeight="1">
      <c r="A6" s="18"/>
      <c r="B6" s="172">
        <v>43380.0</v>
      </c>
      <c r="C6" s="183">
        <v>15000.0</v>
      </c>
      <c r="D6" s="184" t="s">
        <v>471</v>
      </c>
      <c r="E6" s="185" t="s">
        <v>22</v>
      </c>
      <c r="F6" s="18" t="s">
        <v>7</v>
      </c>
      <c r="G6" s="18"/>
      <c r="H6" s="172"/>
      <c r="I6" s="173">
        <f>(SUMIF(F:F,"pagado",C:C)+SUMIF(F:F,"Por pagar Javier",C:C))*0.477</f>
        <v>492745.293</v>
      </c>
      <c r="J6" s="186" t="s">
        <v>462</v>
      </c>
      <c r="K6" s="185" t="s">
        <v>462</v>
      </c>
      <c r="L6" s="18"/>
      <c r="M6" s="18"/>
      <c r="N6" s="234" t="s">
        <v>16</v>
      </c>
      <c r="O6" s="235">
        <f>P6*O9</f>
        <v>0</v>
      </c>
      <c r="P6" s="236">
        <f>SUMIF(F:F,"Por pagar Javier",C:C)</f>
        <v>0</v>
      </c>
      <c r="Q6" s="18"/>
    </row>
    <row r="7" ht="19.5" customHeight="1">
      <c r="A7" s="18"/>
      <c r="B7" s="172">
        <v>43382.0</v>
      </c>
      <c r="C7" s="183">
        <v>39990.0</v>
      </c>
      <c r="D7" s="184" t="s">
        <v>476</v>
      </c>
      <c r="E7" s="185" t="s">
        <v>454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O7" s="102">
        <f>O6-P5</f>
        <v>0</v>
      </c>
      <c r="P7" s="18"/>
      <c r="Q7" s="18"/>
    </row>
    <row r="8" ht="19.5" customHeight="1">
      <c r="A8" s="18"/>
      <c r="B8" s="172">
        <v>43384.0</v>
      </c>
      <c r="C8" s="183">
        <f>10300+8700</f>
        <v>19000</v>
      </c>
      <c r="D8" s="184" t="s">
        <v>477</v>
      </c>
      <c r="E8" s="185" t="s">
        <v>27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43386.0</v>
      </c>
      <c r="C9" s="183">
        <v>58952.0</v>
      </c>
      <c r="D9" s="184" t="s">
        <v>433</v>
      </c>
      <c r="E9" s="185" t="s">
        <v>19</v>
      </c>
      <c r="F9" s="18" t="s">
        <v>7</v>
      </c>
      <c r="G9" s="18"/>
      <c r="H9" s="172"/>
      <c r="I9" s="173"/>
      <c r="J9" s="186"/>
      <c r="K9" s="185"/>
      <c r="L9" s="20"/>
      <c r="M9" s="20"/>
      <c r="N9" s="253">
        <v>1582215.0</v>
      </c>
      <c r="O9" s="254">
        <f>N9/N11</f>
        <v>0.5230091084</v>
      </c>
      <c r="P9" s="20"/>
      <c r="Q9" s="20"/>
    </row>
    <row r="10" ht="19.5" customHeight="1">
      <c r="A10" s="18"/>
      <c r="B10" s="172">
        <v>43387.0</v>
      </c>
      <c r="C10" s="183">
        <v>27051.0</v>
      </c>
      <c r="D10" s="184" t="s">
        <v>434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53">
        <v>1443000.0</v>
      </c>
      <c r="O10" s="254">
        <f>N10/N11</f>
        <v>0.4769908916</v>
      </c>
      <c r="P10" s="20"/>
      <c r="Q10" s="20"/>
    </row>
    <row r="11" ht="19.5" customHeight="1">
      <c r="A11" s="18"/>
      <c r="B11" s="172">
        <v>43388.0</v>
      </c>
      <c r="C11" s="183">
        <v>20000.0</v>
      </c>
      <c r="D11" s="184" t="s">
        <v>472</v>
      </c>
      <c r="E11" s="185" t="s">
        <v>22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53">
        <f>N9+N10</f>
        <v>3025215</v>
      </c>
      <c r="O11" s="255"/>
      <c r="P11" s="20"/>
      <c r="Q11" s="20"/>
    </row>
    <row r="12" ht="19.5" customHeight="1">
      <c r="A12" s="18"/>
      <c r="B12" s="172">
        <v>43389.0</v>
      </c>
      <c r="C12" s="183">
        <v>20000.0</v>
      </c>
      <c r="D12" s="184" t="s">
        <v>413</v>
      </c>
      <c r="E12" s="185" t="s">
        <v>413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>
        <v>43389.0</v>
      </c>
      <c r="C13" s="183">
        <v>2708.0</v>
      </c>
      <c r="D13" s="184" t="s">
        <v>424</v>
      </c>
      <c r="E13" s="185" t="s">
        <v>26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>
        <f>SUMIF(F:F,"pagado",C:C)+SUMIF(F:F,"por pagar fio",C:C)</f>
        <v>1033009</v>
      </c>
      <c r="O13" s="20"/>
      <c r="P13" s="252">
        <f>160000*0.523+O6</f>
        <v>83680</v>
      </c>
      <c r="Q13" s="20"/>
    </row>
    <row r="14" ht="19.5" customHeight="1">
      <c r="A14" s="18"/>
      <c r="B14" s="172">
        <v>43389.0</v>
      </c>
      <c r="C14" s="183">
        <v>3872.0</v>
      </c>
      <c r="D14" s="184" t="s">
        <v>25</v>
      </c>
      <c r="E14" s="185" t="s">
        <v>25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>
        <f>160000*0.477</f>
        <v>76320</v>
      </c>
      <c r="Q14" s="20"/>
    </row>
    <row r="15" ht="19.5" customHeight="1">
      <c r="A15" s="18"/>
      <c r="B15" s="172">
        <v>43393.0</v>
      </c>
      <c r="C15" s="183">
        <v>45932.0</v>
      </c>
      <c r="D15" s="184" t="s">
        <v>432</v>
      </c>
      <c r="E15" s="185" t="s">
        <v>19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162" t="s">
        <v>464</v>
      </c>
      <c r="O15" s="251">
        <f>SUMIF(F:F,"Pagado",C:C)*0.523+SUMIF(F:F,"por pagar Fio",C:C)</f>
        <v>540263.707</v>
      </c>
      <c r="P15" s="20"/>
      <c r="Q15" s="20"/>
    </row>
    <row r="16" ht="19.5" customHeight="1">
      <c r="A16" s="18"/>
      <c r="B16" s="172">
        <v>43393.0</v>
      </c>
      <c r="C16" s="183">
        <v>15000.0</v>
      </c>
      <c r="D16" s="184" t="s">
        <v>473</v>
      </c>
      <c r="E16" s="185" t="s">
        <v>22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73" t="s">
        <v>465</v>
      </c>
      <c r="O16" s="249">
        <f>SUMIF(F:F,"Pagado",C:C)*0.477+SUMIF(F:F,"por pagar Javier",C:C)</f>
        <v>492745.293</v>
      </c>
      <c r="P16" s="20"/>
      <c r="Q16" s="20"/>
    </row>
    <row r="17" ht="19.5" customHeight="1">
      <c r="A17" s="18"/>
      <c r="B17" s="172">
        <v>43393.0</v>
      </c>
      <c r="C17" s="183">
        <f>6090+37030+3495+3495+3775</f>
        <v>53885</v>
      </c>
      <c r="D17" s="184" t="s">
        <v>292</v>
      </c>
      <c r="E17" s="185" t="s">
        <v>27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>
        <v>43400.0</v>
      </c>
      <c r="C18" s="183">
        <v>580000.0</v>
      </c>
      <c r="D18" s="184" t="s">
        <v>20</v>
      </c>
      <c r="E18" s="185" t="s">
        <v>20</v>
      </c>
      <c r="F18" s="18" t="s">
        <v>7</v>
      </c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>
        <v>129087.0</v>
      </c>
      <c r="D19" s="184" t="s">
        <v>21</v>
      </c>
      <c r="E19" s="185" t="s">
        <v>21</v>
      </c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v>7390.0</v>
      </c>
      <c r="D20" s="184" t="s">
        <v>18</v>
      </c>
      <c r="E20" s="185" t="s">
        <v>18</v>
      </c>
      <c r="F20" s="18" t="s">
        <v>7</v>
      </c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18"/>
      <c r="B21" s="172"/>
      <c r="C21" s="183">
        <v>5361.0</v>
      </c>
      <c r="D21" s="184" t="s">
        <v>15</v>
      </c>
      <c r="E21" s="185" t="s">
        <v>15</v>
      </c>
      <c r="F21" s="18" t="s">
        <v>7</v>
      </c>
      <c r="G21" s="18"/>
      <c r="H21" s="172"/>
      <c r="I21" s="173"/>
      <c r="J21" s="193"/>
      <c r="K21" s="194"/>
      <c r="L21" s="20"/>
      <c r="M21" s="20"/>
      <c r="N21" s="20"/>
      <c r="O21" s="20"/>
      <c r="P21" s="20"/>
      <c r="Q21" s="20"/>
    </row>
    <row r="22" ht="19.5" customHeight="1">
      <c r="A22" s="18"/>
      <c r="B22" s="172"/>
      <c r="C22" s="183">
        <v>3627.0</v>
      </c>
      <c r="D22" s="184" t="s">
        <v>24</v>
      </c>
      <c r="E22" s="185" t="s">
        <v>24</v>
      </c>
      <c r="F22" s="18" t="s">
        <v>7</v>
      </c>
      <c r="G22" s="18"/>
      <c r="H22" s="172"/>
      <c r="I22" s="173"/>
      <c r="J22" s="193"/>
      <c r="K22" s="194"/>
      <c r="L22" s="20"/>
      <c r="M22" s="20"/>
      <c r="N22" s="20"/>
      <c r="O22" s="20"/>
      <c r="P22" s="20"/>
      <c r="Q22" s="20"/>
    </row>
    <row r="23" ht="19.5" customHeight="1">
      <c r="A23" s="18"/>
      <c r="B23" s="172"/>
      <c r="C23" s="183">
        <v>66641.0</v>
      </c>
      <c r="D23" s="184" t="s">
        <v>452</v>
      </c>
      <c r="E23" s="185" t="s">
        <v>19</v>
      </c>
      <c r="F23" s="18" t="s">
        <v>7</v>
      </c>
      <c r="G23" s="18"/>
      <c r="H23" s="172"/>
      <c r="I23" s="173"/>
      <c r="J23" s="193"/>
      <c r="K23" s="194"/>
      <c r="L23" s="20"/>
      <c r="M23" s="20"/>
      <c r="N23" s="20"/>
      <c r="O23" s="20"/>
      <c r="P23" s="20"/>
      <c r="Q23" s="20"/>
    </row>
    <row r="24" ht="19.5" customHeight="1">
      <c r="A24" s="18"/>
      <c r="B24" s="172"/>
      <c r="C24" s="183">
        <v>15000.0</v>
      </c>
      <c r="D24" s="184" t="s">
        <v>474</v>
      </c>
      <c r="E24" s="185" t="s">
        <v>22</v>
      </c>
      <c r="F24" s="18" t="s">
        <v>7</v>
      </c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20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20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20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205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205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205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210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autoFilter ref="$B$4:$F$24">
    <sortState ref="B4:F24">
      <sortCondition ref="B4:B24"/>
    </sortState>
  </autoFilter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  <dataValidation type="list" allowBlank="1" showErrorMessage="1" sqref="F5:F31">
      <formula1>"Por pagar Fio,Por pagar Javier,Pagado"</formula1>
    </dataValidation>
  </dataValidation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P3" s="19">
        <f>P5-O6</f>
        <v>0</v>
      </c>
      <c r="Q3" s="27"/>
    </row>
    <row r="4" ht="24.0" customHeight="1">
      <c r="A4" s="20"/>
      <c r="B4" s="168" t="s">
        <v>418</v>
      </c>
      <c r="C4" s="167" t="s">
        <v>419</v>
      </c>
      <c r="D4" s="168" t="s">
        <v>420</v>
      </c>
      <c r="E4" s="168" t="s">
        <v>421</v>
      </c>
      <c r="F4" s="168" t="s">
        <v>422</v>
      </c>
      <c r="G4" s="20"/>
      <c r="H4" s="168" t="s">
        <v>418</v>
      </c>
      <c r="I4" s="167" t="s">
        <v>419</v>
      </c>
      <c r="J4" s="168" t="s">
        <v>420</v>
      </c>
      <c r="K4" s="168" t="s">
        <v>421</v>
      </c>
      <c r="L4" s="168" t="s">
        <v>422</v>
      </c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/>
      <c r="B5" s="172">
        <v>43348.0</v>
      </c>
      <c r="C5" s="173">
        <v>20000.0</v>
      </c>
      <c r="D5" s="174" t="s">
        <v>413</v>
      </c>
      <c r="E5" s="175" t="s">
        <v>413</v>
      </c>
      <c r="F5" s="18" t="s">
        <v>7</v>
      </c>
      <c r="G5" s="20"/>
      <c r="H5" s="172"/>
      <c r="I5" s="173">
        <f>(SUMIF(F:F,"pagado",C:C)+SUMIF(F:F,"por pagar fio",C:C))*0.523</f>
        <v>555026.951</v>
      </c>
      <c r="J5" s="176" t="s">
        <v>16</v>
      </c>
      <c r="K5" s="175" t="s">
        <v>16</v>
      </c>
      <c r="L5" s="18"/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8"/>
    </row>
    <row r="6" ht="19.5" customHeight="1">
      <c r="A6" s="18"/>
      <c r="B6" s="172">
        <v>43344.0</v>
      </c>
      <c r="C6" s="183">
        <v>43738.0</v>
      </c>
      <c r="D6" s="184" t="s">
        <v>433</v>
      </c>
      <c r="E6" s="185" t="s">
        <v>19</v>
      </c>
      <c r="F6" s="18" t="s">
        <v>7</v>
      </c>
      <c r="G6" s="18"/>
      <c r="H6" s="172"/>
      <c r="I6" s="173">
        <f>(SUMIF(F:F,"pagado",C:C)+SUMIF(F:F,"por pagar javier",C:C))*0.477</f>
        <v>506210.049</v>
      </c>
      <c r="J6" s="186" t="s">
        <v>462</v>
      </c>
      <c r="K6" s="185" t="s">
        <v>462</v>
      </c>
      <c r="L6" s="18"/>
      <c r="M6" s="18"/>
      <c r="N6" s="234" t="s">
        <v>16</v>
      </c>
      <c r="O6" s="235">
        <f>P6*O9</f>
        <v>0</v>
      </c>
      <c r="P6" s="236">
        <f>SUMIF(F:F,"Por pagar Javier",C:C)</f>
        <v>0</v>
      </c>
      <c r="Q6" s="18"/>
    </row>
    <row r="7" ht="19.5" customHeight="1">
      <c r="A7" s="18"/>
      <c r="B7" s="172">
        <v>43349.0</v>
      </c>
      <c r="C7" s="183">
        <v>51060.0</v>
      </c>
      <c r="D7" s="184" t="s">
        <v>434</v>
      </c>
      <c r="E7" s="185" t="s">
        <v>19</v>
      </c>
      <c r="F7" s="18" t="s">
        <v>7</v>
      </c>
      <c r="G7" s="18"/>
      <c r="H7" s="172"/>
      <c r="I7" s="173"/>
      <c r="J7" s="186"/>
      <c r="K7" s="185"/>
      <c r="L7" s="18"/>
      <c r="M7" s="18"/>
      <c r="N7" s="18"/>
      <c r="P7" s="18"/>
      <c r="Q7" s="18"/>
    </row>
    <row r="8" ht="19.5" customHeight="1">
      <c r="A8" s="18"/>
      <c r="B8" s="172">
        <v>43344.0</v>
      </c>
      <c r="C8" s="183">
        <v>60000.0</v>
      </c>
      <c r="D8" s="184" t="s">
        <v>478</v>
      </c>
      <c r="E8" s="185" t="s">
        <v>27</v>
      </c>
      <c r="F8" s="18" t="s">
        <v>7</v>
      </c>
      <c r="G8" s="18"/>
      <c r="H8" s="172"/>
      <c r="I8" s="17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/>
      <c r="B9" s="172">
        <v>43350.0</v>
      </c>
      <c r="C9" s="183">
        <v>39990.0</v>
      </c>
      <c r="D9" s="184" t="s">
        <v>476</v>
      </c>
      <c r="E9" s="185" t="s">
        <v>454</v>
      </c>
      <c r="F9" s="18" t="s">
        <v>7</v>
      </c>
      <c r="G9" s="18"/>
      <c r="H9" s="172"/>
      <c r="I9" s="173"/>
      <c r="J9" s="186"/>
      <c r="K9" s="185"/>
      <c r="L9" s="20"/>
      <c r="M9" s="20"/>
      <c r="N9" s="253">
        <v>1582215.0</v>
      </c>
      <c r="O9" s="254">
        <f>N9/N11</f>
        <v>0.5230091084</v>
      </c>
      <c r="P9" s="20"/>
      <c r="Q9" s="20"/>
    </row>
    <row r="10" ht="19.5" customHeight="1">
      <c r="A10" s="18"/>
      <c r="B10" s="172">
        <v>43354.0</v>
      </c>
      <c r="C10" s="183">
        <v>26220.0</v>
      </c>
      <c r="D10" s="184" t="s">
        <v>432</v>
      </c>
      <c r="E10" s="185" t="s">
        <v>19</v>
      </c>
      <c r="F10" s="18" t="s">
        <v>7</v>
      </c>
      <c r="G10" s="18"/>
      <c r="H10" s="172"/>
      <c r="I10" s="173"/>
      <c r="J10" s="193"/>
      <c r="K10" s="194"/>
      <c r="L10" s="20"/>
      <c r="M10" s="20"/>
      <c r="N10" s="253">
        <v>1443000.0</v>
      </c>
      <c r="O10" s="254">
        <f>N10/N11</f>
        <v>0.4769908916</v>
      </c>
      <c r="P10" s="20"/>
      <c r="Q10" s="20"/>
    </row>
    <row r="11" ht="19.5" customHeight="1">
      <c r="A11" s="18"/>
      <c r="B11" s="172">
        <v>43368.0</v>
      </c>
      <c r="C11" s="183">
        <v>3754.0</v>
      </c>
      <c r="D11" s="184" t="s">
        <v>25</v>
      </c>
      <c r="E11" s="185" t="s">
        <v>25</v>
      </c>
      <c r="F11" s="18" t="s">
        <v>7</v>
      </c>
      <c r="G11" s="18"/>
      <c r="H11" s="172"/>
      <c r="I11" s="173"/>
      <c r="J11" s="193"/>
      <c r="K11" s="194"/>
      <c r="L11" s="20"/>
      <c r="M11" s="20"/>
      <c r="N11" s="253">
        <f>N9+N10</f>
        <v>3025215</v>
      </c>
      <c r="O11" s="255"/>
      <c r="P11" s="20"/>
      <c r="Q11" s="20"/>
    </row>
    <row r="12" ht="19.5" customHeight="1">
      <c r="A12" s="18"/>
      <c r="B12" s="172">
        <v>43373.0</v>
      </c>
      <c r="C12" s="183">
        <v>580000.0</v>
      </c>
      <c r="D12" s="184" t="s">
        <v>20</v>
      </c>
      <c r="E12" s="185" t="s">
        <v>20</v>
      </c>
      <c r="F12" s="18" t="s">
        <v>7</v>
      </c>
      <c r="G12" s="18"/>
      <c r="H12" s="172"/>
      <c r="I12" s="17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/>
      <c r="B13" s="172">
        <v>43395.0</v>
      </c>
      <c r="C13" s="183">
        <v>163601.0</v>
      </c>
      <c r="D13" s="184" t="s">
        <v>21</v>
      </c>
      <c r="E13" s="185" t="s">
        <v>21</v>
      </c>
      <c r="F13" s="18" t="s">
        <v>7</v>
      </c>
      <c r="G13" s="18"/>
      <c r="H13" s="172"/>
      <c r="I13" s="173"/>
      <c r="J13" s="193"/>
      <c r="K13" s="194"/>
      <c r="L13" s="20"/>
      <c r="M13" s="20"/>
      <c r="N13" s="20"/>
      <c r="O13" s="20"/>
      <c r="P13" s="20"/>
      <c r="Q13" s="20"/>
    </row>
    <row r="14" ht="19.5" customHeight="1">
      <c r="A14" s="18"/>
      <c r="B14" s="172">
        <v>43373.0</v>
      </c>
      <c r="C14" s="183">
        <v>7390.0</v>
      </c>
      <c r="D14" s="184" t="s">
        <v>18</v>
      </c>
      <c r="E14" s="185" t="s">
        <v>18</v>
      </c>
      <c r="F14" s="18" t="s">
        <v>7</v>
      </c>
      <c r="G14" s="18"/>
      <c r="H14" s="172"/>
      <c r="I14" s="173"/>
      <c r="J14" s="193"/>
      <c r="K14" s="194"/>
      <c r="L14" s="20"/>
      <c r="M14" s="20"/>
      <c r="N14" s="20"/>
      <c r="O14" s="20"/>
      <c r="P14" s="20"/>
      <c r="Q14" s="20"/>
    </row>
    <row r="15" ht="19.5" customHeight="1">
      <c r="A15" s="18"/>
      <c r="B15" s="172">
        <v>43373.0</v>
      </c>
      <c r="C15" s="183">
        <v>5361.0</v>
      </c>
      <c r="D15" s="184" t="s">
        <v>15</v>
      </c>
      <c r="E15" s="185" t="s">
        <v>15</v>
      </c>
      <c r="F15" s="18" t="s">
        <v>7</v>
      </c>
      <c r="G15" s="18"/>
      <c r="H15" s="172"/>
      <c r="I15" s="173"/>
      <c r="J15" s="193"/>
      <c r="K15" s="194"/>
      <c r="L15" s="20"/>
      <c r="M15" s="20"/>
      <c r="N15" s="20"/>
      <c r="O15" s="20"/>
      <c r="P15" s="20"/>
      <c r="Q15" s="20"/>
    </row>
    <row r="16" ht="19.5" customHeight="1">
      <c r="A16" s="18"/>
      <c r="B16" s="172">
        <v>43368.0</v>
      </c>
      <c r="C16" s="183">
        <v>1547.0</v>
      </c>
      <c r="D16" s="184" t="s">
        <v>24</v>
      </c>
      <c r="E16" s="185" t="s">
        <v>24</v>
      </c>
      <c r="F16" s="18" t="s">
        <v>7</v>
      </c>
      <c r="G16" s="18"/>
      <c r="H16" s="172"/>
      <c r="I16" s="173"/>
      <c r="J16" s="186"/>
      <c r="K16" s="185"/>
      <c r="L16" s="20"/>
      <c r="M16" s="20"/>
      <c r="N16" s="20"/>
      <c r="O16" s="20"/>
      <c r="P16" s="20"/>
      <c r="Q16" s="20"/>
    </row>
    <row r="17" ht="19.5" customHeight="1">
      <c r="A17" s="18"/>
      <c r="B17" s="172">
        <v>43373.0</v>
      </c>
      <c r="C17" s="183">
        <v>58576.0</v>
      </c>
      <c r="D17" s="184" t="s">
        <v>452</v>
      </c>
      <c r="E17" s="185" t="s">
        <v>19</v>
      </c>
      <c r="F17" s="18" t="s">
        <v>7</v>
      </c>
      <c r="G17" s="18"/>
      <c r="H17" s="172"/>
      <c r="I17" s="173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/>
      <c r="D18" s="184"/>
      <c r="E18" s="185"/>
      <c r="F18" s="18"/>
      <c r="G18" s="18"/>
      <c r="H18" s="172"/>
      <c r="I18" s="173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/>
      <c r="B19" s="172"/>
      <c r="C19" s="183"/>
      <c r="D19" s="184"/>
      <c r="E19" s="185"/>
      <c r="F19" s="18"/>
      <c r="G19" s="18"/>
      <c r="H19" s="172"/>
      <c r="I19" s="173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/>
      <c r="D20" s="184"/>
      <c r="E20" s="185"/>
      <c r="F20" s="18"/>
      <c r="G20" s="18"/>
      <c r="H20" s="172"/>
      <c r="I20" s="173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18"/>
      <c r="B21" s="172"/>
      <c r="C21" s="183"/>
      <c r="D21" s="184"/>
      <c r="E21" s="185"/>
      <c r="F21" s="18"/>
      <c r="G21" s="18"/>
      <c r="H21" s="172"/>
      <c r="I21" s="173"/>
      <c r="J21" s="193"/>
      <c r="K21" s="194"/>
      <c r="L21" s="20"/>
      <c r="M21" s="20"/>
      <c r="N21" s="20"/>
      <c r="O21" s="20"/>
      <c r="P21" s="20"/>
      <c r="Q21" s="20"/>
    </row>
    <row r="22" ht="19.5" customHeight="1">
      <c r="A22" s="18"/>
      <c r="B22" s="172"/>
      <c r="C22" s="183"/>
      <c r="D22" s="184"/>
      <c r="E22" s="185"/>
      <c r="F22" s="18"/>
      <c r="G22" s="18"/>
      <c r="H22" s="172"/>
      <c r="I22" s="173"/>
      <c r="J22" s="193"/>
      <c r="K22" s="194"/>
      <c r="L22" s="20"/>
      <c r="M22" s="20"/>
      <c r="N22" s="20"/>
      <c r="O22" s="20"/>
      <c r="P22" s="20"/>
      <c r="Q22" s="20"/>
    </row>
    <row r="23" ht="19.5" customHeight="1">
      <c r="A23" s="18"/>
      <c r="B23" s="172"/>
      <c r="C23" s="183"/>
      <c r="D23" s="184"/>
      <c r="E23" s="185"/>
      <c r="F23" s="18"/>
      <c r="G23" s="18"/>
      <c r="H23" s="172"/>
      <c r="I23" s="173"/>
      <c r="J23" s="193"/>
      <c r="K23" s="194"/>
      <c r="L23" s="20"/>
      <c r="M23" s="20"/>
      <c r="N23" s="20"/>
      <c r="O23" s="20"/>
      <c r="P23" s="20"/>
      <c r="Q23" s="20"/>
    </row>
    <row r="24" ht="19.5" customHeight="1">
      <c r="A24" s="18"/>
      <c r="B24" s="172"/>
      <c r="C24" s="183"/>
      <c r="D24" s="184"/>
      <c r="E24" s="185"/>
      <c r="F24" s="18"/>
      <c r="G24" s="18"/>
      <c r="H24" s="172"/>
      <c r="I24" s="173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/>
      <c r="B25" s="172"/>
      <c r="C25" s="183"/>
      <c r="D25" s="184"/>
      <c r="E25" s="185"/>
      <c r="F25" s="18"/>
      <c r="G25" s="18"/>
      <c r="H25" s="172"/>
      <c r="I25" s="173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173"/>
      <c r="J26" s="193"/>
      <c r="K26" s="194"/>
      <c r="L26" s="20"/>
      <c r="M26" s="20"/>
      <c r="N26" s="20"/>
      <c r="O26" s="20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173"/>
      <c r="J27" s="193"/>
      <c r="K27" s="194"/>
      <c r="L27" s="20"/>
      <c r="M27" s="20"/>
      <c r="N27" s="20"/>
      <c r="O27" s="20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173"/>
      <c r="J28" s="193"/>
      <c r="K28" s="194"/>
      <c r="L28" s="20"/>
      <c r="M28" s="20"/>
      <c r="N28" s="20"/>
      <c r="O28" s="20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173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205"/>
      <c r="C30" s="183"/>
      <c r="D30" s="206"/>
      <c r="E30" s="194"/>
      <c r="F30" s="20"/>
      <c r="G30" s="20"/>
      <c r="H30" s="205"/>
      <c r="I30" s="173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205"/>
      <c r="C31" s="183"/>
      <c r="D31" s="206"/>
      <c r="E31" s="194"/>
      <c r="F31" s="20"/>
      <c r="G31" s="20"/>
      <c r="H31" s="205"/>
      <c r="I31" s="173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205"/>
      <c r="C32" s="183"/>
      <c r="D32" s="206"/>
      <c r="E32" s="194"/>
      <c r="F32" s="20"/>
      <c r="G32" s="20"/>
      <c r="H32" s="205"/>
      <c r="I32" s="173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210"/>
      <c r="C33" s="207"/>
      <c r="D33" s="208"/>
      <c r="E33" s="209"/>
      <c r="F33" s="20"/>
      <c r="G33" s="20"/>
      <c r="H33" s="210"/>
      <c r="I33" s="173"/>
      <c r="J33" s="211"/>
      <c r="K33" s="209"/>
      <c r="L33" s="20"/>
      <c r="M33" s="20"/>
      <c r="N33" s="20"/>
      <c r="O33" s="20"/>
      <c r="P33" s="20"/>
      <c r="Q33" s="20"/>
    </row>
  </sheetData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25.5"/>
    <col customWidth="1" min="6" max="7" width="10.25"/>
    <col customWidth="1" min="10" max="10" width="13.25"/>
    <col customWidth="1" min="11" max="11" width="21.0"/>
    <col customWidth="1" min="12" max="17" width="12.5"/>
  </cols>
  <sheetData>
    <row r="1" ht="33.0" customHeight="1">
      <c r="A1" s="154"/>
      <c r="B1" s="155" t="s">
        <v>416</v>
      </c>
      <c r="L1" s="154"/>
      <c r="M1" s="154"/>
      <c r="N1" s="154"/>
      <c r="O1" s="154"/>
      <c r="P1" s="154"/>
      <c r="Q1" s="154"/>
    </row>
    <row r="2" ht="48.0" customHeight="1">
      <c r="A2" s="156"/>
      <c r="B2" s="157" t="s">
        <v>1</v>
      </c>
      <c r="C2" s="158"/>
      <c r="D2" s="156"/>
      <c r="E2" s="156"/>
      <c r="F2" s="156"/>
      <c r="G2" s="156"/>
      <c r="H2" s="157" t="s">
        <v>460</v>
      </c>
      <c r="I2" s="158"/>
      <c r="J2" s="156"/>
      <c r="K2" s="156"/>
      <c r="L2" s="156"/>
      <c r="M2" s="156"/>
      <c r="N2" s="156"/>
      <c r="O2" s="156"/>
      <c r="P2" s="156"/>
      <c r="Q2" s="156"/>
    </row>
    <row r="3" ht="12.0" customHeight="1">
      <c r="A3" s="27"/>
      <c r="B3" s="160"/>
      <c r="C3" s="161"/>
      <c r="D3" s="160"/>
      <c r="E3" s="160"/>
      <c r="F3" s="27"/>
      <c r="G3" s="27"/>
      <c r="H3" s="160"/>
      <c r="I3" s="161"/>
      <c r="J3" s="160"/>
      <c r="K3" s="160"/>
      <c r="L3" s="27"/>
      <c r="M3" s="27"/>
      <c r="N3" s="27"/>
      <c r="O3" s="27"/>
      <c r="P3" s="27"/>
      <c r="Q3" s="27"/>
    </row>
    <row r="4" ht="24.0" customHeight="1">
      <c r="A4" s="20"/>
      <c r="B4" s="168" t="s">
        <v>418</v>
      </c>
      <c r="C4" s="167" t="s">
        <v>419</v>
      </c>
      <c r="D4" s="168" t="s">
        <v>420</v>
      </c>
      <c r="E4" s="168" t="s">
        <v>421</v>
      </c>
      <c r="F4" s="18" t="s">
        <v>422</v>
      </c>
      <c r="G4" s="20"/>
      <c r="H4" s="168" t="s">
        <v>418</v>
      </c>
      <c r="I4" s="167" t="s">
        <v>419</v>
      </c>
      <c r="J4" s="168" t="s">
        <v>420</v>
      </c>
      <c r="K4" s="168" t="s">
        <v>421</v>
      </c>
      <c r="L4" s="18" t="s">
        <v>422</v>
      </c>
      <c r="M4" s="20"/>
      <c r="N4" s="228" t="s">
        <v>461</v>
      </c>
      <c r="O4" s="229" t="s">
        <v>462</v>
      </c>
      <c r="P4" s="230" t="s">
        <v>16</v>
      </c>
      <c r="Q4" s="20"/>
    </row>
    <row r="5" ht="19.5" customHeight="1">
      <c r="A5" s="18" t="s">
        <v>479</v>
      </c>
      <c r="B5" s="172">
        <v>43313.0</v>
      </c>
      <c r="C5" s="173">
        <v>5361.0</v>
      </c>
      <c r="D5" s="174" t="s">
        <v>15</v>
      </c>
      <c r="E5" s="175" t="s">
        <v>15</v>
      </c>
      <c r="F5" s="18" t="s">
        <v>7</v>
      </c>
      <c r="G5" s="20"/>
      <c r="H5" s="172"/>
      <c r="I5" s="173">
        <f>SUMIF(A5:A33,"jav",C5:C23)</f>
        <v>924510</v>
      </c>
      <c r="J5" s="176" t="s">
        <v>480</v>
      </c>
      <c r="K5" s="175" t="s">
        <v>16</v>
      </c>
      <c r="L5" s="18" t="s">
        <v>481</v>
      </c>
      <c r="M5" s="18"/>
      <c r="N5" s="231" t="s">
        <v>462</v>
      </c>
      <c r="O5" s="232">
        <f>SUMIF(F:F,"Por pagar Fio",C:C)</f>
        <v>0</v>
      </c>
      <c r="P5" s="233">
        <f>O5*O10</f>
        <v>0</v>
      </c>
      <c r="Q5" s="18"/>
    </row>
    <row r="6" ht="19.5" customHeight="1">
      <c r="A6" s="18" t="s">
        <v>482</v>
      </c>
      <c r="B6" s="172">
        <v>43317.0</v>
      </c>
      <c r="C6" s="183">
        <v>87000.0</v>
      </c>
      <c r="D6" s="184" t="s">
        <v>483</v>
      </c>
      <c r="E6" s="185" t="s">
        <v>19</v>
      </c>
      <c r="F6" s="18" t="s">
        <v>7</v>
      </c>
      <c r="G6" s="18"/>
      <c r="H6" s="172"/>
      <c r="I6" s="173">
        <f>SUMIF(A6:A34,"fio",C6:C24)</f>
        <v>265511</v>
      </c>
      <c r="J6" s="186" t="s">
        <v>480</v>
      </c>
      <c r="K6" s="185" t="s">
        <v>462</v>
      </c>
      <c r="L6" s="18" t="s">
        <v>481</v>
      </c>
      <c r="M6" s="18"/>
      <c r="N6" s="234" t="s">
        <v>16</v>
      </c>
      <c r="O6" s="235">
        <f>P6*O9</f>
        <v>0</v>
      </c>
      <c r="P6" s="236"/>
      <c r="Q6" s="18"/>
    </row>
    <row r="7" ht="19.5" customHeight="1">
      <c r="A7" s="18" t="s">
        <v>479</v>
      </c>
      <c r="B7" s="172">
        <v>43316.0</v>
      </c>
      <c r="C7" s="183">
        <v>4990.0</v>
      </c>
      <c r="D7" s="184" t="s">
        <v>484</v>
      </c>
      <c r="E7" s="185" t="s">
        <v>27</v>
      </c>
      <c r="F7" s="18" t="s">
        <v>7</v>
      </c>
      <c r="G7" s="18"/>
      <c r="H7" s="172"/>
      <c r="I7" s="183">
        <v>4990.0</v>
      </c>
      <c r="J7" s="186" t="s">
        <v>485</v>
      </c>
      <c r="K7" s="185" t="s">
        <v>486</v>
      </c>
      <c r="L7" s="18" t="s">
        <v>7</v>
      </c>
      <c r="M7" s="18"/>
      <c r="N7" s="18"/>
      <c r="O7" s="18"/>
      <c r="P7" s="18"/>
      <c r="Q7" s="18"/>
    </row>
    <row r="8" ht="19.5" customHeight="1">
      <c r="A8" s="18" t="s">
        <v>14</v>
      </c>
      <c r="B8" s="172">
        <v>43317.0</v>
      </c>
      <c r="C8" s="183">
        <v>22000.0</v>
      </c>
      <c r="D8" s="184" t="s">
        <v>487</v>
      </c>
      <c r="E8" s="185" t="s">
        <v>413</v>
      </c>
      <c r="F8" s="18" t="s">
        <v>7</v>
      </c>
      <c r="G8" s="18"/>
      <c r="H8" s="172"/>
      <c r="I8" s="183"/>
      <c r="J8" s="186"/>
      <c r="K8" s="185"/>
      <c r="L8" s="20"/>
      <c r="M8" s="20"/>
      <c r="N8" s="20"/>
      <c r="O8" s="20"/>
      <c r="P8" s="20"/>
      <c r="Q8" s="20"/>
    </row>
    <row r="9" ht="19.5" customHeight="1">
      <c r="A9" s="18" t="s">
        <v>14</v>
      </c>
      <c r="B9" s="172">
        <v>43317.0</v>
      </c>
      <c r="C9" s="183">
        <v>87000.0</v>
      </c>
      <c r="D9" s="184" t="s">
        <v>488</v>
      </c>
      <c r="E9" s="185" t="s">
        <v>19</v>
      </c>
      <c r="F9" s="18" t="s">
        <v>7</v>
      </c>
      <c r="G9" s="18"/>
      <c r="H9" s="172"/>
      <c r="I9" s="183"/>
      <c r="J9" s="186"/>
      <c r="K9" s="185"/>
      <c r="L9" s="20"/>
      <c r="M9" s="20"/>
      <c r="N9" s="253">
        <v>1582215.0</v>
      </c>
      <c r="O9" s="254">
        <f>N9/N11</f>
        <v>0.5230091084</v>
      </c>
      <c r="P9" s="20"/>
      <c r="Q9" s="20"/>
    </row>
    <row r="10" ht="19.5" customHeight="1">
      <c r="A10" s="18" t="s">
        <v>462</v>
      </c>
      <c r="B10" s="172">
        <v>43317.0</v>
      </c>
      <c r="C10" s="183">
        <v>37000.0</v>
      </c>
      <c r="D10" s="184" t="s">
        <v>489</v>
      </c>
      <c r="E10" s="185" t="s">
        <v>27</v>
      </c>
      <c r="F10" s="18" t="s">
        <v>7</v>
      </c>
      <c r="G10" s="18"/>
      <c r="H10" s="172"/>
      <c r="I10" s="183"/>
      <c r="J10" s="193"/>
      <c r="K10" s="194"/>
      <c r="L10" s="20"/>
      <c r="M10" s="20"/>
      <c r="N10" s="253">
        <v>1443000.0</v>
      </c>
      <c r="O10" s="254">
        <f>N10/N11</f>
        <v>0.4769908916</v>
      </c>
      <c r="P10" s="20"/>
      <c r="Q10" s="20"/>
    </row>
    <row r="11" ht="19.5" customHeight="1">
      <c r="A11" s="18" t="s">
        <v>462</v>
      </c>
      <c r="B11" s="172">
        <v>43317.0</v>
      </c>
      <c r="C11" s="183">
        <v>87000.0</v>
      </c>
      <c r="D11" s="184" t="s">
        <v>490</v>
      </c>
      <c r="E11" s="185" t="s">
        <v>27</v>
      </c>
      <c r="F11" s="18" t="s">
        <v>7</v>
      </c>
      <c r="G11" s="18"/>
      <c r="H11" s="172"/>
      <c r="I11" s="183"/>
      <c r="J11" s="193"/>
      <c r="K11" s="194"/>
      <c r="L11" s="20"/>
      <c r="M11" s="20"/>
      <c r="N11" s="253">
        <f>N9+N10</f>
        <v>3025215</v>
      </c>
      <c r="O11" s="255"/>
      <c r="P11" s="20"/>
      <c r="Q11" s="20"/>
    </row>
    <row r="12" ht="19.5" customHeight="1">
      <c r="A12" s="18" t="s">
        <v>14</v>
      </c>
      <c r="B12" s="172">
        <v>43320.0</v>
      </c>
      <c r="C12" s="183">
        <v>37247.0</v>
      </c>
      <c r="D12" s="184" t="s">
        <v>454</v>
      </c>
      <c r="E12" s="185" t="s">
        <v>454</v>
      </c>
      <c r="F12" s="18" t="s">
        <v>7</v>
      </c>
      <c r="G12" s="18"/>
      <c r="H12" s="172"/>
      <c r="I12" s="183"/>
      <c r="J12" s="193"/>
      <c r="K12" s="194"/>
      <c r="L12" s="20"/>
      <c r="M12" s="20"/>
      <c r="N12" s="20"/>
      <c r="O12" s="20"/>
      <c r="P12" s="20"/>
      <c r="Q12" s="20"/>
    </row>
    <row r="13" ht="19.5" customHeight="1">
      <c r="A13" s="18" t="s">
        <v>14</v>
      </c>
      <c r="B13" s="172">
        <v>43324.0</v>
      </c>
      <c r="C13" s="183">
        <v>94946.0</v>
      </c>
      <c r="D13" s="184" t="s">
        <v>491</v>
      </c>
      <c r="E13" s="185" t="s">
        <v>19</v>
      </c>
      <c r="F13" s="18" t="s">
        <v>7</v>
      </c>
      <c r="G13" s="18"/>
      <c r="H13" s="172"/>
      <c r="I13" s="183"/>
      <c r="J13" s="193"/>
      <c r="K13" s="194"/>
      <c r="L13" s="20"/>
      <c r="M13" s="20"/>
      <c r="N13" s="20"/>
      <c r="O13" s="20"/>
      <c r="P13" s="20"/>
      <c r="Q13" s="20"/>
    </row>
    <row r="14" ht="19.5" customHeight="1">
      <c r="A14" s="18" t="s">
        <v>14</v>
      </c>
      <c r="B14" s="172">
        <v>43323.0</v>
      </c>
      <c r="C14" s="183">
        <v>10000.0</v>
      </c>
      <c r="D14" s="184" t="s">
        <v>492</v>
      </c>
      <c r="E14" s="185" t="s">
        <v>27</v>
      </c>
      <c r="F14" s="18" t="s">
        <v>7</v>
      </c>
      <c r="G14" s="18"/>
      <c r="H14" s="172"/>
      <c r="I14" s="183"/>
      <c r="J14" s="193"/>
      <c r="K14" s="194"/>
      <c r="L14" s="20"/>
      <c r="M14" s="20"/>
      <c r="N14" s="20"/>
      <c r="O14" s="20"/>
      <c r="P14" s="20"/>
      <c r="Q14" s="20"/>
    </row>
    <row r="15" ht="19.5" customHeight="1">
      <c r="A15" s="18" t="s">
        <v>14</v>
      </c>
      <c r="B15" s="172">
        <v>43326.0</v>
      </c>
      <c r="C15" s="183">
        <v>15000.0</v>
      </c>
      <c r="D15" s="184" t="s">
        <v>493</v>
      </c>
      <c r="E15" s="185" t="s">
        <v>27</v>
      </c>
      <c r="F15" s="18" t="s">
        <v>7</v>
      </c>
      <c r="G15" s="18"/>
      <c r="H15" s="172"/>
      <c r="I15" s="183"/>
      <c r="J15" s="193"/>
      <c r="K15" s="194"/>
      <c r="L15" s="20"/>
      <c r="M15" s="20"/>
      <c r="N15" s="20"/>
      <c r="O15" s="20"/>
      <c r="P15" s="20"/>
      <c r="Q15" s="20"/>
    </row>
    <row r="16" ht="19.5" customHeight="1">
      <c r="A16" s="18" t="s">
        <v>494</v>
      </c>
      <c r="B16" s="172">
        <v>43336.0</v>
      </c>
      <c r="C16" s="183">
        <v>1656.0</v>
      </c>
      <c r="D16" s="184" t="s">
        <v>495</v>
      </c>
      <c r="E16" s="185" t="s">
        <v>24</v>
      </c>
      <c r="F16" s="18" t="s">
        <v>7</v>
      </c>
      <c r="G16" s="18"/>
      <c r="H16" s="172"/>
      <c r="I16" s="183"/>
      <c r="J16" s="186"/>
      <c r="K16" s="185"/>
      <c r="L16" s="20"/>
      <c r="M16" s="20"/>
      <c r="N16" s="20"/>
      <c r="O16" s="20"/>
      <c r="P16" s="20"/>
      <c r="Q16" s="20"/>
    </row>
    <row r="17" ht="19.5" customHeight="1">
      <c r="A17" s="18" t="s">
        <v>494</v>
      </c>
      <c r="B17" s="172">
        <v>43336.0</v>
      </c>
      <c r="C17" s="183">
        <v>1850.0</v>
      </c>
      <c r="D17" s="184" t="s">
        <v>25</v>
      </c>
      <c r="E17" s="185" t="s">
        <v>25</v>
      </c>
      <c r="F17" s="18" t="s">
        <v>7</v>
      </c>
      <c r="G17" s="18"/>
      <c r="H17" s="172"/>
      <c r="I17" s="256"/>
      <c r="J17" s="193"/>
      <c r="K17" s="194"/>
      <c r="L17" s="20"/>
      <c r="M17" s="20"/>
      <c r="N17" s="20"/>
      <c r="O17" s="20"/>
      <c r="P17" s="20"/>
      <c r="Q17" s="20"/>
    </row>
    <row r="18" ht="19.5" customHeight="1">
      <c r="A18" s="20"/>
      <c r="B18" s="172"/>
      <c r="C18" s="183">
        <v>5000.0</v>
      </c>
      <c r="D18" s="184" t="s">
        <v>424</v>
      </c>
      <c r="E18" s="185" t="s">
        <v>26</v>
      </c>
      <c r="F18" s="18"/>
      <c r="G18" s="18"/>
      <c r="H18" s="172"/>
      <c r="I18" s="256"/>
      <c r="J18" s="193"/>
      <c r="K18" s="194"/>
      <c r="L18" s="20"/>
      <c r="M18" s="20"/>
      <c r="N18" s="20"/>
      <c r="O18" s="20"/>
      <c r="P18" s="20"/>
      <c r="Q18" s="20"/>
    </row>
    <row r="19" ht="19.5" customHeight="1">
      <c r="A19" s="18" t="s">
        <v>479</v>
      </c>
      <c r="B19" s="172"/>
      <c r="C19" s="183">
        <v>580000.0</v>
      </c>
      <c r="D19" s="184" t="s">
        <v>496</v>
      </c>
      <c r="E19" s="185" t="s">
        <v>20</v>
      </c>
      <c r="F19" s="18" t="s">
        <v>7</v>
      </c>
      <c r="G19" s="18"/>
      <c r="H19" s="172"/>
      <c r="I19" s="256"/>
      <c r="J19" s="193"/>
      <c r="K19" s="194"/>
      <c r="L19" s="20"/>
      <c r="M19" s="20"/>
      <c r="N19" s="20"/>
      <c r="O19" s="20"/>
      <c r="P19" s="20"/>
      <c r="Q19" s="20"/>
    </row>
    <row r="20" ht="19.5" customHeight="1">
      <c r="A20" s="20"/>
      <c r="B20" s="172"/>
      <c r="C20" s="183">
        <v>150000.0</v>
      </c>
      <c r="D20" s="184" t="s">
        <v>21</v>
      </c>
      <c r="E20" s="185" t="s">
        <v>21</v>
      </c>
      <c r="F20" s="18"/>
      <c r="G20" s="18"/>
      <c r="H20" s="172"/>
      <c r="I20" s="256"/>
      <c r="J20" s="193"/>
      <c r="K20" s="194"/>
      <c r="L20" s="20"/>
      <c r="M20" s="20"/>
      <c r="N20" s="20"/>
      <c r="O20" s="20"/>
      <c r="P20" s="20"/>
      <c r="Q20" s="20"/>
    </row>
    <row r="21" ht="19.5" customHeight="1">
      <c r="A21" s="18" t="s">
        <v>462</v>
      </c>
      <c r="B21" s="172">
        <v>43335.0</v>
      </c>
      <c r="C21" s="183">
        <v>25816.0</v>
      </c>
      <c r="D21" s="184" t="s">
        <v>497</v>
      </c>
      <c r="E21" s="185" t="s">
        <v>19</v>
      </c>
      <c r="F21" s="18" t="s">
        <v>7</v>
      </c>
      <c r="G21" s="18"/>
      <c r="H21" s="172"/>
      <c r="I21" s="256"/>
      <c r="J21" s="193"/>
      <c r="K21" s="194"/>
      <c r="L21" s="20"/>
      <c r="M21" s="20"/>
      <c r="N21" s="20"/>
      <c r="O21" s="20"/>
      <c r="P21" s="20"/>
      <c r="Q21" s="20"/>
    </row>
    <row r="22" ht="19.5" customHeight="1">
      <c r="A22" s="18" t="s">
        <v>462</v>
      </c>
      <c r="B22" s="172">
        <v>43338.0</v>
      </c>
      <c r="C22" s="183">
        <v>28695.0</v>
      </c>
      <c r="D22" s="184" t="s">
        <v>498</v>
      </c>
      <c r="E22" s="185" t="s">
        <v>19</v>
      </c>
      <c r="F22" s="18" t="s">
        <v>7</v>
      </c>
      <c r="G22" s="18"/>
      <c r="H22" s="172"/>
      <c r="I22" s="256"/>
      <c r="J22" s="193"/>
      <c r="K22" s="194"/>
      <c r="L22" s="20"/>
      <c r="M22" s="20"/>
      <c r="N22" s="20"/>
      <c r="O22" s="20"/>
      <c r="P22" s="20"/>
      <c r="Q22" s="20"/>
    </row>
    <row r="23" ht="19.5" customHeight="1">
      <c r="A23" s="18" t="s">
        <v>14</v>
      </c>
      <c r="B23" s="172">
        <v>43338.0</v>
      </c>
      <c r="C23" s="183">
        <v>13750.0</v>
      </c>
      <c r="D23" s="184" t="s">
        <v>492</v>
      </c>
      <c r="E23" s="185" t="s">
        <v>27</v>
      </c>
      <c r="F23" s="18" t="s">
        <v>7</v>
      </c>
      <c r="G23" s="18"/>
      <c r="H23" s="172"/>
      <c r="I23" s="256"/>
      <c r="J23" s="193"/>
      <c r="K23" s="194"/>
      <c r="L23" s="20"/>
      <c r="M23" s="20"/>
      <c r="N23" s="20"/>
      <c r="O23" s="20"/>
      <c r="P23" s="20"/>
      <c r="Q23" s="20"/>
    </row>
    <row r="24" ht="19.5" customHeight="1">
      <c r="A24" s="18" t="s">
        <v>14</v>
      </c>
      <c r="B24" s="172">
        <v>43343.0</v>
      </c>
      <c r="C24" s="183">
        <v>7390.0</v>
      </c>
      <c r="D24" s="184" t="s">
        <v>18</v>
      </c>
      <c r="E24" s="185" t="s">
        <v>18</v>
      </c>
      <c r="F24" s="18" t="s">
        <v>7</v>
      </c>
      <c r="G24" s="18"/>
      <c r="H24" s="172"/>
      <c r="I24" s="256"/>
      <c r="J24" s="193"/>
      <c r="K24" s="194"/>
      <c r="L24" s="20"/>
      <c r="M24" s="20"/>
      <c r="N24" s="20"/>
      <c r="O24" s="20"/>
      <c r="P24" s="20"/>
      <c r="Q24" s="20"/>
    </row>
    <row r="25" ht="19.5" customHeight="1">
      <c r="A25" s="18" t="s">
        <v>14</v>
      </c>
      <c r="B25" s="172">
        <v>43343.0</v>
      </c>
      <c r="C25" s="183">
        <v>43320.0</v>
      </c>
      <c r="D25" s="184" t="s">
        <v>493</v>
      </c>
      <c r="E25" s="185" t="s">
        <v>27</v>
      </c>
      <c r="F25" s="18" t="s">
        <v>7</v>
      </c>
      <c r="G25" s="18"/>
      <c r="H25" s="172"/>
      <c r="I25" s="256"/>
      <c r="J25" s="193"/>
      <c r="K25" s="194"/>
      <c r="L25" s="20"/>
      <c r="M25" s="20"/>
      <c r="N25" s="20"/>
      <c r="O25" s="20"/>
      <c r="P25" s="20"/>
      <c r="Q25" s="20"/>
    </row>
    <row r="26" ht="19.5" customHeight="1">
      <c r="A26" s="20"/>
      <c r="B26" s="172"/>
      <c r="C26" s="183"/>
      <c r="D26" s="184"/>
      <c r="E26" s="185"/>
      <c r="F26" s="18"/>
      <c r="G26" s="18"/>
      <c r="H26" s="205"/>
      <c r="I26" s="256"/>
      <c r="J26" s="193"/>
      <c r="K26" s="194"/>
      <c r="L26" s="20"/>
      <c r="M26" s="20"/>
      <c r="N26" s="20"/>
      <c r="O26" s="20"/>
      <c r="P26" s="20"/>
      <c r="Q26" s="20"/>
    </row>
    <row r="27" ht="19.5" customHeight="1">
      <c r="A27" s="20"/>
      <c r="B27" s="172"/>
      <c r="C27" s="183"/>
      <c r="D27" s="184"/>
      <c r="E27" s="185"/>
      <c r="F27" s="18"/>
      <c r="G27" s="18"/>
      <c r="H27" s="205"/>
      <c r="I27" s="256"/>
      <c r="J27" s="193"/>
      <c r="K27" s="194"/>
      <c r="L27" s="20"/>
      <c r="M27" s="20"/>
      <c r="N27" s="20"/>
      <c r="O27" s="20"/>
      <c r="P27" s="20"/>
      <c r="Q27" s="20"/>
    </row>
    <row r="28" ht="19.5" customHeight="1">
      <c r="A28" s="20"/>
      <c r="B28" s="172"/>
      <c r="C28" s="183"/>
      <c r="D28" s="184"/>
      <c r="E28" s="185"/>
      <c r="F28" s="18"/>
      <c r="G28" s="18"/>
      <c r="H28" s="205"/>
      <c r="I28" s="256"/>
      <c r="J28" s="193"/>
      <c r="K28" s="194"/>
      <c r="L28" s="20"/>
      <c r="M28" s="20"/>
      <c r="N28" s="20"/>
      <c r="O28" s="20"/>
      <c r="P28" s="20"/>
      <c r="Q28" s="20"/>
    </row>
    <row r="29" ht="19.5" customHeight="1">
      <c r="A29" s="20"/>
      <c r="B29" s="172"/>
      <c r="C29" s="183"/>
      <c r="D29" s="184"/>
      <c r="E29" s="185"/>
      <c r="F29" s="18"/>
      <c r="G29" s="18"/>
      <c r="H29" s="205"/>
      <c r="I29" s="256"/>
      <c r="J29" s="193"/>
      <c r="K29" s="194"/>
      <c r="L29" s="20"/>
      <c r="M29" s="20"/>
      <c r="N29" s="20"/>
      <c r="O29" s="20"/>
      <c r="P29" s="20"/>
      <c r="Q29" s="20"/>
    </row>
    <row r="30" ht="19.5" customHeight="1">
      <c r="A30" s="20"/>
      <c r="B30" s="205"/>
      <c r="C30" s="183"/>
      <c r="D30" s="206"/>
      <c r="E30" s="194"/>
      <c r="F30" s="20"/>
      <c r="G30" s="20"/>
      <c r="H30" s="205"/>
      <c r="I30" s="256"/>
      <c r="J30" s="193"/>
      <c r="K30" s="194"/>
      <c r="L30" s="20"/>
      <c r="M30" s="20"/>
      <c r="N30" s="20"/>
      <c r="O30" s="20"/>
      <c r="P30" s="20"/>
      <c r="Q30" s="20"/>
    </row>
    <row r="31" ht="19.5" customHeight="1">
      <c r="A31" s="20"/>
      <c r="B31" s="205"/>
      <c r="C31" s="183"/>
      <c r="D31" s="206"/>
      <c r="E31" s="194"/>
      <c r="F31" s="20"/>
      <c r="G31" s="20"/>
      <c r="H31" s="205"/>
      <c r="I31" s="256"/>
      <c r="J31" s="193"/>
      <c r="K31" s="194"/>
      <c r="L31" s="20"/>
      <c r="M31" s="20"/>
      <c r="N31" s="20"/>
      <c r="O31" s="20"/>
      <c r="P31" s="20"/>
      <c r="Q31" s="20"/>
    </row>
    <row r="32" ht="19.5" customHeight="1">
      <c r="A32" s="20"/>
      <c r="B32" s="205"/>
      <c r="C32" s="183"/>
      <c r="D32" s="206"/>
      <c r="E32" s="194"/>
      <c r="F32" s="20"/>
      <c r="G32" s="20"/>
      <c r="H32" s="205"/>
      <c r="I32" s="256"/>
      <c r="J32" s="193"/>
      <c r="K32" s="194"/>
      <c r="L32" s="20"/>
      <c r="M32" s="20"/>
      <c r="N32" s="20"/>
      <c r="O32" s="20"/>
      <c r="P32" s="20"/>
      <c r="Q32" s="20"/>
    </row>
    <row r="33" ht="19.5" customHeight="1">
      <c r="A33" s="20"/>
      <c r="B33" s="210"/>
      <c r="C33" s="207"/>
      <c r="D33" s="208"/>
      <c r="E33" s="209"/>
      <c r="F33" s="20"/>
      <c r="G33" s="20"/>
      <c r="H33" s="210"/>
      <c r="I33" s="257"/>
      <c r="J33" s="211"/>
      <c r="K33" s="209"/>
      <c r="L33" s="20"/>
      <c r="M33" s="20"/>
      <c r="N33" s="20"/>
      <c r="O33" s="20"/>
      <c r="P33" s="20"/>
      <c r="Q33" s="20"/>
    </row>
  </sheetData>
  <mergeCells count="1">
    <mergeCell ref="B1:K1"/>
  </mergeCells>
  <dataValidations>
    <dataValidation type="list" allowBlank="1" sqref="K5:K33">
      <formula1>Resumen!$H$10:$I$26</formula1>
    </dataValidation>
    <dataValidation type="list" allowBlank="1" sqref="E5:E33">
      <formula1>Resumen!$B$10:$C$26</formula1>
    </dataValidation>
  </dataValidation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06"/>
      <c r="B6" s="106" t="s">
        <v>499</v>
      </c>
      <c r="C6" s="106" t="s">
        <v>500</v>
      </c>
      <c r="D6" s="106" t="s">
        <v>501</v>
      </c>
      <c r="E6" s="106" t="s">
        <v>306</v>
      </c>
    </row>
    <row r="7">
      <c r="A7" s="106" t="s">
        <v>177</v>
      </c>
      <c r="B7" s="106">
        <v>3.0</v>
      </c>
      <c r="C7" s="106">
        <v>10507.0</v>
      </c>
      <c r="D7">
        <f t="shared" ref="D7:D11" si="1">C7/B7</f>
        <v>3502.333333</v>
      </c>
      <c r="E7" s="106">
        <v>5475555.0</v>
      </c>
      <c r="F7" s="258">
        <v>0.7</v>
      </c>
      <c r="G7">
        <f t="shared" ref="G7:G11" si="2">E7/F7</f>
        <v>7822221.429</v>
      </c>
    </row>
    <row r="8">
      <c r="A8" s="106" t="s">
        <v>502</v>
      </c>
      <c r="B8" s="106">
        <v>4.0</v>
      </c>
      <c r="C8" s="106">
        <v>27310.0</v>
      </c>
      <c r="D8">
        <f t="shared" si="1"/>
        <v>6827.5</v>
      </c>
      <c r="E8" s="106">
        <v>2560295.0</v>
      </c>
      <c r="F8" s="258">
        <v>0.5</v>
      </c>
      <c r="G8">
        <f t="shared" si="2"/>
        <v>5120590</v>
      </c>
    </row>
    <row r="9">
      <c r="A9" s="106" t="s">
        <v>503</v>
      </c>
      <c r="B9" s="106">
        <v>6.0</v>
      </c>
      <c r="C9" s="106">
        <v>20889.0</v>
      </c>
      <c r="D9">
        <f t="shared" si="1"/>
        <v>3481.5</v>
      </c>
      <c r="E9" s="106">
        <v>1444802.0</v>
      </c>
      <c r="F9" s="258">
        <v>0.5</v>
      </c>
      <c r="G9">
        <f t="shared" si="2"/>
        <v>2889604</v>
      </c>
    </row>
    <row r="10">
      <c r="A10" s="106" t="s">
        <v>247</v>
      </c>
      <c r="B10" s="106">
        <v>7.0</v>
      </c>
      <c r="C10" s="106">
        <v>25192.0</v>
      </c>
      <c r="D10">
        <f t="shared" si="1"/>
        <v>3598.857143</v>
      </c>
      <c r="E10" s="106">
        <v>1270385.0</v>
      </c>
      <c r="F10" s="258">
        <v>0.5</v>
      </c>
      <c r="G10">
        <f t="shared" si="2"/>
        <v>2540770</v>
      </c>
    </row>
    <row r="11">
      <c r="A11" s="106" t="s">
        <v>249</v>
      </c>
      <c r="B11" s="106">
        <v>8.0</v>
      </c>
      <c r="C11" s="106">
        <v>32989.0</v>
      </c>
      <c r="D11">
        <f t="shared" si="1"/>
        <v>4123.625</v>
      </c>
      <c r="E11" s="106">
        <v>1406148.0</v>
      </c>
      <c r="F11" s="258">
        <v>0.5</v>
      </c>
      <c r="G11">
        <f t="shared" si="2"/>
        <v>2812296</v>
      </c>
    </row>
    <row r="12">
      <c r="A12" s="106"/>
      <c r="B12" s="106"/>
      <c r="C12" s="106"/>
      <c r="E12" s="106"/>
      <c r="F12" s="258"/>
    </row>
    <row r="14">
      <c r="B14" s="106" t="s">
        <v>504</v>
      </c>
    </row>
  </sheetData>
  <drawing r:id="rId1"/>
</worksheet>
</file>